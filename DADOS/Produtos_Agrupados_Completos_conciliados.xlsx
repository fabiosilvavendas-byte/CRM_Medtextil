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dados planilhas\"/>
    </mc:Choice>
  </mc:AlternateContent>
  <xr:revisionPtr revIDLastSave="0" documentId="13_ncr:1_{5211F3ED-D36C-4309-82DD-13CD0396C6C1}" xr6:coauthVersionLast="47" xr6:coauthVersionMax="47" xr10:uidLastSave="{00000000-0000-0000-0000-000000000000}"/>
  <bookViews>
    <workbookView xWindow="-120" yWindow="-120" windowWidth="29040" windowHeight="15840" xr2:uid="{86B17377-32DB-438B-8A03-02E761646E6D}"/>
  </bookViews>
  <sheets>
    <sheet name="CONCILIADA" sheetId="3" r:id="rId1"/>
    <sheet name="Tabela de preços" sheetId="4" r:id="rId2"/>
    <sheet name="Estoque" sheetId="6" r:id="rId3"/>
  </sheets>
  <externalReferences>
    <externalReference r:id="rId4"/>
  </externalReferences>
  <definedNames>
    <definedName name="DadosExternos_1" localSheetId="0" hidden="1">CONCILIADA!$A$1:$G$430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3" l="1"/>
  <c r="K5" i="3" s="1"/>
  <c r="I430" i="3"/>
  <c r="J430" i="3"/>
  <c r="K430" i="3" s="1"/>
  <c r="L430" i="3"/>
  <c r="M430" i="3" s="1"/>
  <c r="N430" i="3"/>
  <c r="O430" i="3" s="1"/>
  <c r="P430" i="3"/>
  <c r="Q430" i="3" s="1"/>
  <c r="I429" i="3"/>
  <c r="J429" i="3"/>
  <c r="K429" i="3" s="1"/>
  <c r="L429" i="3"/>
  <c r="M429" i="3" s="1"/>
  <c r="N429" i="3"/>
  <c r="O429" i="3" s="1"/>
  <c r="P429" i="3"/>
  <c r="Q429" i="3" s="1"/>
  <c r="I428" i="3"/>
  <c r="J428" i="3"/>
  <c r="K428" i="3" s="1"/>
  <c r="L428" i="3"/>
  <c r="M428" i="3" s="1"/>
  <c r="N428" i="3"/>
  <c r="O428" i="3" s="1"/>
  <c r="P428" i="3"/>
  <c r="Q428" i="3" s="1"/>
  <c r="I427" i="3"/>
  <c r="J427" i="3"/>
  <c r="K427" i="3" s="1"/>
  <c r="L427" i="3"/>
  <c r="M427" i="3" s="1"/>
  <c r="N427" i="3"/>
  <c r="O427" i="3" s="1"/>
  <c r="P427" i="3"/>
  <c r="Q427" i="3" s="1"/>
  <c r="I426" i="3"/>
  <c r="J426" i="3"/>
  <c r="K426" i="3" s="1"/>
  <c r="L426" i="3"/>
  <c r="M426" i="3" s="1"/>
  <c r="N426" i="3"/>
  <c r="O426" i="3" s="1"/>
  <c r="P426" i="3"/>
  <c r="Q426" i="3" s="1"/>
  <c r="I425" i="3"/>
  <c r="J425" i="3"/>
  <c r="K425" i="3" s="1"/>
  <c r="L425" i="3"/>
  <c r="M425" i="3" s="1"/>
  <c r="N425" i="3"/>
  <c r="O425" i="3" s="1"/>
  <c r="P425" i="3"/>
  <c r="Q425" i="3" s="1"/>
  <c r="I424" i="3"/>
  <c r="J424" i="3"/>
  <c r="K424" i="3" s="1"/>
  <c r="L424" i="3"/>
  <c r="M424" i="3" s="1"/>
  <c r="N424" i="3"/>
  <c r="O424" i="3" s="1"/>
  <c r="P424" i="3"/>
  <c r="Q424" i="3" s="1"/>
  <c r="I423" i="3"/>
  <c r="J423" i="3"/>
  <c r="K423" i="3" s="1"/>
  <c r="L423" i="3"/>
  <c r="M423" i="3" s="1"/>
  <c r="N423" i="3"/>
  <c r="O423" i="3" s="1"/>
  <c r="P423" i="3"/>
  <c r="Q423" i="3" s="1"/>
  <c r="I422" i="3"/>
  <c r="J422" i="3"/>
  <c r="K422" i="3" s="1"/>
  <c r="L422" i="3"/>
  <c r="M422" i="3" s="1"/>
  <c r="N422" i="3"/>
  <c r="O422" i="3" s="1"/>
  <c r="P422" i="3"/>
  <c r="Q422" i="3" s="1"/>
  <c r="I421" i="3"/>
  <c r="J421" i="3"/>
  <c r="K421" i="3" s="1"/>
  <c r="L421" i="3"/>
  <c r="M421" i="3" s="1"/>
  <c r="N421" i="3"/>
  <c r="O421" i="3" s="1"/>
  <c r="P421" i="3"/>
  <c r="Q421" i="3" s="1"/>
  <c r="I420" i="3"/>
  <c r="J420" i="3"/>
  <c r="K420" i="3" s="1"/>
  <c r="L420" i="3"/>
  <c r="M420" i="3" s="1"/>
  <c r="N420" i="3"/>
  <c r="O420" i="3" s="1"/>
  <c r="P420" i="3"/>
  <c r="Q420" i="3" s="1"/>
  <c r="I25" i="4"/>
  <c r="J25" i="4"/>
  <c r="K25" i="4" s="1"/>
  <c r="L25" i="4"/>
  <c r="M25" i="4" s="1"/>
  <c r="N25" i="4"/>
  <c r="O25" i="4" s="1"/>
  <c r="P25" i="4"/>
  <c r="Q25" i="4" s="1"/>
  <c r="P88" i="3" l="1"/>
  <c r="Q88" i="3" s="1"/>
  <c r="N88" i="3"/>
  <c r="O88" i="3" s="1"/>
  <c r="N89" i="3"/>
  <c r="O89" i="3" s="1"/>
  <c r="L88" i="3"/>
  <c r="M88" i="3" s="1"/>
  <c r="I88" i="3"/>
  <c r="J88" i="3"/>
  <c r="K88" i="3" s="1"/>
  <c r="F89" i="3"/>
  <c r="I89" i="3"/>
  <c r="J89" i="3"/>
  <c r="K89" i="3" s="1"/>
  <c r="L89" i="3"/>
  <c r="M89" i="3" s="1"/>
  <c r="P89" i="3"/>
  <c r="Q89" i="3" s="1"/>
  <c r="P5" i="3"/>
  <c r="Q5" i="3" s="1"/>
  <c r="P9" i="3"/>
  <c r="Q9" i="3" s="1"/>
  <c r="P10" i="3"/>
  <c r="Q10" i="3" s="1"/>
  <c r="P11" i="3"/>
  <c r="Q11" i="3" s="1"/>
  <c r="P12" i="3"/>
  <c r="Q12" i="3" s="1"/>
  <c r="P13" i="3"/>
  <c r="Q13" i="3" s="1"/>
  <c r="P14" i="3"/>
  <c r="Q14" i="3" s="1"/>
  <c r="P15" i="3"/>
  <c r="Q15" i="3" s="1"/>
  <c r="P16" i="3"/>
  <c r="Q16" i="3" s="1"/>
  <c r="P17" i="3"/>
  <c r="Q17" i="3" s="1"/>
  <c r="P18" i="3"/>
  <c r="Q18" i="3" s="1"/>
  <c r="P19" i="3"/>
  <c r="Q19" i="3" s="1"/>
  <c r="P20" i="3"/>
  <c r="Q20" i="3" s="1"/>
  <c r="P21" i="3"/>
  <c r="Q21" i="3" s="1"/>
  <c r="P22" i="3"/>
  <c r="Q22" i="3" s="1"/>
  <c r="P23" i="3"/>
  <c r="Q23" i="3" s="1"/>
  <c r="P24" i="3"/>
  <c r="Q24" i="3" s="1"/>
  <c r="P25" i="3"/>
  <c r="Q25" i="3" s="1"/>
  <c r="P26" i="3"/>
  <c r="Q26" i="3" s="1"/>
  <c r="P27" i="3"/>
  <c r="Q27" i="3" s="1"/>
  <c r="P28" i="3"/>
  <c r="Q28" i="3" s="1"/>
  <c r="P29" i="3"/>
  <c r="Q29" i="3" s="1"/>
  <c r="P30" i="3"/>
  <c r="Q30" i="3" s="1"/>
  <c r="P31" i="3"/>
  <c r="Q31" i="3" s="1"/>
  <c r="P32" i="3"/>
  <c r="Q32" i="3" s="1"/>
  <c r="P33" i="3"/>
  <c r="Q33" i="3" s="1"/>
  <c r="P34" i="3"/>
  <c r="Q34" i="3" s="1"/>
  <c r="P35" i="3"/>
  <c r="Q35" i="3" s="1"/>
  <c r="P36" i="3"/>
  <c r="Q36" i="3" s="1"/>
  <c r="P37" i="3"/>
  <c r="Q37" i="3" s="1"/>
  <c r="P38" i="3"/>
  <c r="Q38" i="3" s="1"/>
  <c r="P39" i="3"/>
  <c r="Q39" i="3" s="1"/>
  <c r="P40" i="3"/>
  <c r="Q40" i="3" s="1"/>
  <c r="P41" i="3"/>
  <c r="Q41" i="3" s="1"/>
  <c r="P42" i="3"/>
  <c r="Q42" i="3" s="1"/>
  <c r="P43" i="3"/>
  <c r="Q43" i="3" s="1"/>
  <c r="P44" i="3"/>
  <c r="Q44" i="3" s="1"/>
  <c r="P45" i="3"/>
  <c r="Q45" i="3" s="1"/>
  <c r="P46" i="3"/>
  <c r="Q46" i="3" s="1"/>
  <c r="P47" i="3"/>
  <c r="Q47" i="3" s="1"/>
  <c r="P48" i="3"/>
  <c r="Q48" i="3" s="1"/>
  <c r="P49" i="3"/>
  <c r="Q49" i="3" s="1"/>
  <c r="P50" i="3"/>
  <c r="Q50" i="3" s="1"/>
  <c r="P51" i="3"/>
  <c r="Q51" i="3" s="1"/>
  <c r="P52" i="3"/>
  <c r="Q52" i="3" s="1"/>
  <c r="P53" i="3"/>
  <c r="Q53" i="3" s="1"/>
  <c r="P54" i="3"/>
  <c r="Q54" i="3" s="1"/>
  <c r="P55" i="3"/>
  <c r="Q55" i="3" s="1"/>
  <c r="P56" i="3"/>
  <c r="Q56" i="3" s="1"/>
  <c r="P57" i="3"/>
  <c r="Q57" i="3" s="1"/>
  <c r="P58" i="3"/>
  <c r="Q58" i="3" s="1"/>
  <c r="P59" i="3"/>
  <c r="Q59" i="3" s="1"/>
  <c r="P60" i="3"/>
  <c r="Q60" i="3" s="1"/>
  <c r="P61" i="3"/>
  <c r="Q61" i="3" s="1"/>
  <c r="P62" i="3"/>
  <c r="Q62" i="3" s="1"/>
  <c r="P63" i="3"/>
  <c r="Q63" i="3" s="1"/>
  <c r="P64" i="3"/>
  <c r="Q64" i="3" s="1"/>
  <c r="P65" i="3"/>
  <c r="Q65" i="3" s="1"/>
  <c r="P69" i="3"/>
  <c r="Q69" i="3" s="1"/>
  <c r="P72" i="3"/>
  <c r="Q72" i="3" s="1"/>
  <c r="P73" i="3"/>
  <c r="Q73" i="3" s="1"/>
  <c r="P74" i="3"/>
  <c r="Q74" i="3" s="1"/>
  <c r="P75" i="3"/>
  <c r="Q75" i="3" s="1"/>
  <c r="P76" i="3"/>
  <c r="Q76" i="3" s="1"/>
  <c r="P77" i="3"/>
  <c r="Q77" i="3" s="1"/>
  <c r="P78" i="3"/>
  <c r="Q78" i="3" s="1"/>
  <c r="P79" i="3"/>
  <c r="Q79" i="3" s="1"/>
  <c r="P80" i="3"/>
  <c r="Q80" i="3" s="1"/>
  <c r="P81" i="3"/>
  <c r="Q81" i="3" s="1"/>
  <c r="P82" i="3"/>
  <c r="Q82" i="3" s="1"/>
  <c r="P83" i="3"/>
  <c r="Q83" i="3" s="1"/>
  <c r="P84" i="3"/>
  <c r="Q84" i="3" s="1"/>
  <c r="P85" i="3"/>
  <c r="Q85" i="3" s="1"/>
  <c r="P86" i="3"/>
  <c r="Q86" i="3" s="1"/>
  <c r="P87" i="3"/>
  <c r="Q87" i="3" s="1"/>
  <c r="P90" i="3"/>
  <c r="Q90" i="3" s="1"/>
  <c r="P91" i="3"/>
  <c r="Q91" i="3" s="1"/>
  <c r="P92" i="3"/>
  <c r="Q92" i="3" s="1"/>
  <c r="P93" i="3"/>
  <c r="Q93" i="3" s="1"/>
  <c r="P94" i="3"/>
  <c r="Q94" i="3" s="1"/>
  <c r="P95" i="3"/>
  <c r="Q95" i="3" s="1"/>
  <c r="P96" i="3"/>
  <c r="Q96" i="3" s="1"/>
  <c r="P97" i="3"/>
  <c r="Q97" i="3" s="1"/>
  <c r="P98" i="3"/>
  <c r="Q98" i="3" s="1"/>
  <c r="P99" i="3"/>
  <c r="Q99" i="3" s="1"/>
  <c r="P100" i="3"/>
  <c r="Q100" i="3" s="1"/>
  <c r="P101" i="3"/>
  <c r="Q101" i="3" s="1"/>
  <c r="P102" i="3"/>
  <c r="Q102" i="3" s="1"/>
  <c r="P103" i="3"/>
  <c r="Q103" i="3" s="1"/>
  <c r="P104" i="3"/>
  <c r="Q104" i="3" s="1"/>
  <c r="P105" i="3"/>
  <c r="Q105" i="3" s="1"/>
  <c r="P106" i="3"/>
  <c r="Q106" i="3" s="1"/>
  <c r="P107" i="3"/>
  <c r="Q107" i="3" s="1"/>
  <c r="P108" i="3"/>
  <c r="Q108" i="3" s="1"/>
  <c r="P109" i="3"/>
  <c r="Q109" i="3" s="1"/>
  <c r="P110" i="3"/>
  <c r="Q110" i="3" s="1"/>
  <c r="P111" i="3"/>
  <c r="Q111" i="3" s="1"/>
  <c r="P112" i="3"/>
  <c r="Q112" i="3" s="1"/>
  <c r="P113" i="3"/>
  <c r="Q113" i="3" s="1"/>
  <c r="P114" i="3"/>
  <c r="Q114" i="3" s="1"/>
  <c r="P115" i="3"/>
  <c r="Q115" i="3" s="1"/>
  <c r="P116" i="3"/>
  <c r="Q116" i="3" s="1"/>
  <c r="P117" i="3"/>
  <c r="Q117" i="3" s="1"/>
  <c r="P118" i="3"/>
  <c r="Q118" i="3" s="1"/>
  <c r="P119" i="3"/>
  <c r="Q119" i="3" s="1"/>
  <c r="P120" i="3"/>
  <c r="Q120" i="3" s="1"/>
  <c r="P121" i="3"/>
  <c r="Q121" i="3" s="1"/>
  <c r="P122" i="3"/>
  <c r="Q122" i="3" s="1"/>
  <c r="P123" i="3"/>
  <c r="Q123" i="3" s="1"/>
  <c r="P124" i="3"/>
  <c r="Q124" i="3" s="1"/>
  <c r="P125" i="3"/>
  <c r="Q125" i="3" s="1"/>
  <c r="P126" i="3"/>
  <c r="Q126" i="3" s="1"/>
  <c r="P127" i="3"/>
  <c r="Q127" i="3" s="1"/>
  <c r="P128" i="3"/>
  <c r="Q128" i="3" s="1"/>
  <c r="P129" i="3"/>
  <c r="Q129" i="3" s="1"/>
  <c r="P130" i="3"/>
  <c r="Q130" i="3" s="1"/>
  <c r="P131" i="3"/>
  <c r="Q131" i="3" s="1"/>
  <c r="P132" i="3"/>
  <c r="Q132" i="3" s="1"/>
  <c r="P133" i="3"/>
  <c r="Q133" i="3" s="1"/>
  <c r="P134" i="3"/>
  <c r="Q134" i="3" s="1"/>
  <c r="P135" i="3"/>
  <c r="Q135" i="3" s="1"/>
  <c r="P136" i="3"/>
  <c r="Q136" i="3" s="1"/>
  <c r="P137" i="3"/>
  <c r="Q137" i="3" s="1"/>
  <c r="P138" i="3"/>
  <c r="Q138" i="3" s="1"/>
  <c r="P139" i="3"/>
  <c r="Q139" i="3" s="1"/>
  <c r="P140" i="3"/>
  <c r="Q140" i="3" s="1"/>
  <c r="P141" i="3"/>
  <c r="Q141" i="3" s="1"/>
  <c r="P142" i="3"/>
  <c r="Q142" i="3" s="1"/>
  <c r="P143" i="3"/>
  <c r="Q143" i="3" s="1"/>
  <c r="P144" i="3"/>
  <c r="Q144" i="3" s="1"/>
  <c r="P145" i="3"/>
  <c r="Q145" i="3" s="1"/>
  <c r="P146" i="3"/>
  <c r="Q146" i="3" s="1"/>
  <c r="P147" i="3"/>
  <c r="Q147" i="3" s="1"/>
  <c r="P148" i="3"/>
  <c r="Q148" i="3" s="1"/>
  <c r="P149" i="3"/>
  <c r="Q149" i="3" s="1"/>
  <c r="P150" i="3"/>
  <c r="Q150" i="3" s="1"/>
  <c r="P151" i="3"/>
  <c r="Q151" i="3" s="1"/>
  <c r="P152" i="3"/>
  <c r="Q152" i="3" s="1"/>
  <c r="P153" i="3"/>
  <c r="Q153" i="3" s="1"/>
  <c r="P154" i="3"/>
  <c r="Q154" i="3" s="1"/>
  <c r="P155" i="3"/>
  <c r="Q155" i="3" s="1"/>
  <c r="P156" i="3"/>
  <c r="Q156" i="3" s="1"/>
  <c r="P157" i="3"/>
  <c r="Q157" i="3" s="1"/>
  <c r="P158" i="3"/>
  <c r="Q158" i="3" s="1"/>
  <c r="P159" i="3"/>
  <c r="Q159" i="3" s="1"/>
  <c r="P160" i="3"/>
  <c r="Q160" i="3" s="1"/>
  <c r="P161" i="3"/>
  <c r="Q161" i="3" s="1"/>
  <c r="P162" i="3"/>
  <c r="Q162" i="3" s="1"/>
  <c r="P163" i="3"/>
  <c r="Q163" i="3" s="1"/>
  <c r="P164" i="3"/>
  <c r="Q164" i="3" s="1"/>
  <c r="P165" i="3"/>
  <c r="Q165" i="3" s="1"/>
  <c r="P166" i="3"/>
  <c r="Q166" i="3" s="1"/>
  <c r="P167" i="3"/>
  <c r="Q167" i="3" s="1"/>
  <c r="P168" i="3"/>
  <c r="Q168" i="3" s="1"/>
  <c r="P169" i="3"/>
  <c r="Q169" i="3" s="1"/>
  <c r="P170" i="3"/>
  <c r="Q170" i="3" s="1"/>
  <c r="P171" i="3"/>
  <c r="Q171" i="3" s="1"/>
  <c r="P172" i="3"/>
  <c r="Q172" i="3" s="1"/>
  <c r="P173" i="3"/>
  <c r="Q173" i="3" s="1"/>
  <c r="P174" i="3"/>
  <c r="Q174" i="3" s="1"/>
  <c r="P175" i="3"/>
  <c r="Q175" i="3" s="1"/>
  <c r="P176" i="3"/>
  <c r="Q176" i="3" s="1"/>
  <c r="P177" i="3"/>
  <c r="Q177" i="3" s="1"/>
  <c r="P178" i="3"/>
  <c r="Q178" i="3" s="1"/>
  <c r="P179" i="3"/>
  <c r="Q179" i="3" s="1"/>
  <c r="P180" i="3"/>
  <c r="Q180" i="3" s="1"/>
  <c r="P181" i="3"/>
  <c r="Q181" i="3" s="1"/>
  <c r="P182" i="3"/>
  <c r="Q182" i="3" s="1"/>
  <c r="P183" i="3"/>
  <c r="Q183" i="3" s="1"/>
  <c r="P184" i="3"/>
  <c r="Q184" i="3" s="1"/>
  <c r="P185" i="3"/>
  <c r="Q185" i="3" s="1"/>
  <c r="P186" i="3"/>
  <c r="Q186" i="3" s="1"/>
  <c r="P187" i="3"/>
  <c r="Q187" i="3" s="1"/>
  <c r="P188" i="3"/>
  <c r="Q188" i="3" s="1"/>
  <c r="P189" i="3"/>
  <c r="Q189" i="3" s="1"/>
  <c r="P190" i="3"/>
  <c r="Q190" i="3" s="1"/>
  <c r="P191" i="3"/>
  <c r="Q191" i="3" s="1"/>
  <c r="P192" i="3"/>
  <c r="Q192" i="3" s="1"/>
  <c r="P193" i="3"/>
  <c r="Q193" i="3" s="1"/>
  <c r="P194" i="3"/>
  <c r="Q194" i="3" s="1"/>
  <c r="P195" i="3"/>
  <c r="Q195" i="3" s="1"/>
  <c r="P196" i="3"/>
  <c r="Q196" i="3" s="1"/>
  <c r="P197" i="3"/>
  <c r="Q197" i="3" s="1"/>
  <c r="P198" i="3"/>
  <c r="Q198" i="3" s="1"/>
  <c r="P199" i="3"/>
  <c r="Q199" i="3" s="1"/>
  <c r="P200" i="3"/>
  <c r="Q200" i="3" s="1"/>
  <c r="P201" i="3"/>
  <c r="Q201" i="3" s="1"/>
  <c r="P202" i="3"/>
  <c r="Q202" i="3" s="1"/>
  <c r="P203" i="3"/>
  <c r="Q203" i="3" s="1"/>
  <c r="P204" i="3"/>
  <c r="Q204" i="3" s="1"/>
  <c r="P205" i="3"/>
  <c r="Q205" i="3" s="1"/>
  <c r="P206" i="3"/>
  <c r="Q206" i="3" s="1"/>
  <c r="P207" i="3"/>
  <c r="Q207" i="3" s="1"/>
  <c r="P208" i="3"/>
  <c r="Q208" i="3" s="1"/>
  <c r="P209" i="3"/>
  <c r="Q209" i="3" s="1"/>
  <c r="P210" i="3"/>
  <c r="Q210" i="3" s="1"/>
  <c r="P211" i="3"/>
  <c r="Q211" i="3" s="1"/>
  <c r="P212" i="3"/>
  <c r="Q212" i="3" s="1"/>
  <c r="P215" i="3"/>
  <c r="Q215" i="3" s="1"/>
  <c r="P216" i="3"/>
  <c r="Q216" i="3" s="1"/>
  <c r="P217" i="3"/>
  <c r="Q217" i="3" s="1"/>
  <c r="P218" i="3"/>
  <c r="Q218" i="3" s="1"/>
  <c r="P219" i="3"/>
  <c r="Q219" i="3" s="1"/>
  <c r="P220" i="3"/>
  <c r="Q220" i="3" s="1"/>
  <c r="P221" i="3"/>
  <c r="Q221" i="3" s="1"/>
  <c r="P222" i="3"/>
  <c r="Q222" i="3" s="1"/>
  <c r="P223" i="3"/>
  <c r="Q223" i="3" s="1"/>
  <c r="P224" i="3"/>
  <c r="Q224" i="3" s="1"/>
  <c r="P225" i="3"/>
  <c r="Q225" i="3" s="1"/>
  <c r="P226" i="3"/>
  <c r="Q226" i="3" s="1"/>
  <c r="P227" i="3"/>
  <c r="Q227" i="3" s="1"/>
  <c r="P228" i="3"/>
  <c r="Q228" i="3" s="1"/>
  <c r="P229" i="3"/>
  <c r="Q229" i="3" s="1"/>
  <c r="P230" i="3"/>
  <c r="Q230" i="3" s="1"/>
  <c r="P231" i="3"/>
  <c r="Q231" i="3" s="1"/>
  <c r="P232" i="3"/>
  <c r="Q232" i="3" s="1"/>
  <c r="P233" i="3"/>
  <c r="Q233" i="3" s="1"/>
  <c r="P234" i="3"/>
  <c r="Q234" i="3" s="1"/>
  <c r="P235" i="3"/>
  <c r="Q235" i="3" s="1"/>
  <c r="P236" i="3"/>
  <c r="Q236" i="3" s="1"/>
  <c r="P237" i="3"/>
  <c r="Q237" i="3" s="1"/>
  <c r="P238" i="3"/>
  <c r="Q238" i="3" s="1"/>
  <c r="P239" i="3"/>
  <c r="Q239" i="3" s="1"/>
  <c r="P240" i="3"/>
  <c r="Q240" i="3" s="1"/>
  <c r="P241" i="3"/>
  <c r="Q241" i="3" s="1"/>
  <c r="P242" i="3"/>
  <c r="Q242" i="3" s="1"/>
  <c r="P243" i="3"/>
  <c r="Q243" i="3" s="1"/>
  <c r="P244" i="3"/>
  <c r="Q244" i="3" s="1"/>
  <c r="P245" i="3"/>
  <c r="Q245" i="3" s="1"/>
  <c r="P246" i="3"/>
  <c r="Q246" i="3" s="1"/>
  <c r="P247" i="3"/>
  <c r="Q247" i="3" s="1"/>
  <c r="P248" i="3"/>
  <c r="Q248" i="3" s="1"/>
  <c r="P249" i="3"/>
  <c r="Q249" i="3" s="1"/>
  <c r="P250" i="3"/>
  <c r="Q250" i="3" s="1"/>
  <c r="P251" i="3"/>
  <c r="Q251" i="3" s="1"/>
  <c r="P252" i="3"/>
  <c r="Q252" i="3" s="1"/>
  <c r="P253" i="3"/>
  <c r="Q253" i="3" s="1"/>
  <c r="P254" i="3"/>
  <c r="Q254" i="3" s="1"/>
  <c r="P255" i="3"/>
  <c r="Q255" i="3" s="1"/>
  <c r="P256" i="3"/>
  <c r="Q256" i="3" s="1"/>
  <c r="P257" i="3"/>
  <c r="Q257" i="3" s="1"/>
  <c r="P258" i="3"/>
  <c r="Q258" i="3" s="1"/>
  <c r="P259" i="3"/>
  <c r="Q259" i="3" s="1"/>
  <c r="P260" i="3"/>
  <c r="Q260" i="3" s="1"/>
  <c r="P261" i="3"/>
  <c r="Q261" i="3" s="1"/>
  <c r="P262" i="3"/>
  <c r="Q262" i="3" s="1"/>
  <c r="P263" i="3"/>
  <c r="Q263" i="3" s="1"/>
  <c r="P264" i="3"/>
  <c r="Q264" i="3" s="1"/>
  <c r="P265" i="3"/>
  <c r="Q265" i="3" s="1"/>
  <c r="P266" i="3"/>
  <c r="Q266" i="3" s="1"/>
  <c r="P267" i="3"/>
  <c r="Q267" i="3" s="1"/>
  <c r="P268" i="3"/>
  <c r="Q268" i="3" s="1"/>
  <c r="P269" i="3"/>
  <c r="Q269" i="3" s="1"/>
  <c r="P270" i="3"/>
  <c r="Q270" i="3" s="1"/>
  <c r="P271" i="3"/>
  <c r="Q271" i="3" s="1"/>
  <c r="P272" i="3"/>
  <c r="Q272" i="3" s="1"/>
  <c r="P273" i="3"/>
  <c r="Q273" i="3" s="1"/>
  <c r="P274" i="3"/>
  <c r="Q274" i="3" s="1"/>
  <c r="P275" i="3"/>
  <c r="Q275" i="3" s="1"/>
  <c r="P276" i="3"/>
  <c r="Q276" i="3" s="1"/>
  <c r="P278" i="3"/>
  <c r="Q278" i="3" s="1"/>
  <c r="P282" i="3"/>
  <c r="Q282" i="3" s="1"/>
  <c r="P283" i="3"/>
  <c r="Q283" i="3" s="1"/>
  <c r="P284" i="3"/>
  <c r="Q284" i="3" s="1"/>
  <c r="P285" i="3"/>
  <c r="Q285" i="3" s="1"/>
  <c r="P286" i="3"/>
  <c r="Q286" i="3" s="1"/>
  <c r="P287" i="3"/>
  <c r="Q287" i="3" s="1"/>
  <c r="P288" i="3"/>
  <c r="Q288" i="3" s="1"/>
  <c r="P289" i="3"/>
  <c r="Q289" i="3" s="1"/>
  <c r="P290" i="3"/>
  <c r="Q290" i="3" s="1"/>
  <c r="P291" i="3"/>
  <c r="Q291" i="3" s="1"/>
  <c r="P292" i="3"/>
  <c r="Q292" i="3" s="1"/>
  <c r="P293" i="3"/>
  <c r="Q293" i="3" s="1"/>
  <c r="P294" i="3"/>
  <c r="Q294" i="3" s="1"/>
  <c r="P295" i="3"/>
  <c r="Q295" i="3" s="1"/>
  <c r="P296" i="3"/>
  <c r="Q296" i="3" s="1"/>
  <c r="P297" i="3"/>
  <c r="Q297" i="3" s="1"/>
  <c r="P298" i="3"/>
  <c r="Q298" i="3" s="1"/>
  <c r="P299" i="3"/>
  <c r="Q299" i="3" s="1"/>
  <c r="P300" i="3"/>
  <c r="Q300" i="3" s="1"/>
  <c r="P301" i="3"/>
  <c r="Q301" i="3" s="1"/>
  <c r="P302" i="3"/>
  <c r="Q302" i="3" s="1"/>
  <c r="P303" i="3"/>
  <c r="Q303" i="3" s="1"/>
  <c r="P304" i="3"/>
  <c r="Q304" i="3" s="1"/>
  <c r="P305" i="3"/>
  <c r="Q305" i="3" s="1"/>
  <c r="P306" i="3"/>
  <c r="Q306" i="3" s="1"/>
  <c r="P307" i="3"/>
  <c r="Q307" i="3" s="1"/>
  <c r="P308" i="3"/>
  <c r="Q308" i="3" s="1"/>
  <c r="P309" i="3"/>
  <c r="Q309" i="3" s="1"/>
  <c r="P310" i="3"/>
  <c r="Q310" i="3" s="1"/>
  <c r="P311" i="3"/>
  <c r="Q311" i="3" s="1"/>
  <c r="P312" i="3"/>
  <c r="Q312" i="3" s="1"/>
  <c r="P313" i="3"/>
  <c r="Q313" i="3" s="1"/>
  <c r="P314" i="3"/>
  <c r="Q314" i="3" s="1"/>
  <c r="P315" i="3"/>
  <c r="Q315" i="3" s="1"/>
  <c r="P316" i="3"/>
  <c r="Q316" i="3" s="1"/>
  <c r="P317" i="3"/>
  <c r="Q317" i="3" s="1"/>
  <c r="P318" i="3"/>
  <c r="Q318" i="3" s="1"/>
  <c r="P319" i="3"/>
  <c r="Q319" i="3" s="1"/>
  <c r="P320" i="3"/>
  <c r="Q320" i="3" s="1"/>
  <c r="P321" i="3"/>
  <c r="Q321" i="3" s="1"/>
  <c r="P322" i="3"/>
  <c r="Q322" i="3" s="1"/>
  <c r="P323" i="3"/>
  <c r="Q323" i="3" s="1"/>
  <c r="P324" i="3"/>
  <c r="Q324" i="3" s="1"/>
  <c r="P325" i="3"/>
  <c r="Q325" i="3" s="1"/>
  <c r="P326" i="3"/>
  <c r="Q326" i="3" s="1"/>
  <c r="P327" i="3"/>
  <c r="Q327" i="3" s="1"/>
  <c r="P328" i="3"/>
  <c r="Q328" i="3" s="1"/>
  <c r="P329" i="3"/>
  <c r="Q329" i="3" s="1"/>
  <c r="P330" i="3"/>
  <c r="Q330" i="3" s="1"/>
  <c r="P331" i="3"/>
  <c r="Q331" i="3" s="1"/>
  <c r="P332" i="3"/>
  <c r="Q332" i="3" s="1"/>
  <c r="P333" i="3"/>
  <c r="Q333" i="3" s="1"/>
  <c r="P334" i="3"/>
  <c r="Q334" i="3" s="1"/>
  <c r="P335" i="3"/>
  <c r="Q335" i="3" s="1"/>
  <c r="P336" i="3"/>
  <c r="Q336" i="3" s="1"/>
  <c r="P337" i="3"/>
  <c r="Q337" i="3" s="1"/>
  <c r="P338" i="3"/>
  <c r="Q338" i="3" s="1"/>
  <c r="P339" i="3"/>
  <c r="Q339" i="3" s="1"/>
  <c r="P340" i="3"/>
  <c r="Q340" i="3" s="1"/>
  <c r="P341" i="3"/>
  <c r="Q341" i="3" s="1"/>
  <c r="P342" i="3"/>
  <c r="Q342" i="3" s="1"/>
  <c r="P343" i="3"/>
  <c r="Q343" i="3" s="1"/>
  <c r="P344" i="3"/>
  <c r="Q344" i="3" s="1"/>
  <c r="P345" i="3"/>
  <c r="Q345" i="3" s="1"/>
  <c r="P346" i="3"/>
  <c r="Q346" i="3" s="1"/>
  <c r="P347" i="3"/>
  <c r="Q347" i="3" s="1"/>
  <c r="P348" i="3"/>
  <c r="Q348" i="3" s="1"/>
  <c r="P349" i="3"/>
  <c r="Q349" i="3" s="1"/>
  <c r="P350" i="3"/>
  <c r="Q350" i="3" s="1"/>
  <c r="P351" i="3"/>
  <c r="Q351" i="3" s="1"/>
  <c r="P352" i="3"/>
  <c r="Q352" i="3" s="1"/>
  <c r="P353" i="3"/>
  <c r="Q353" i="3" s="1"/>
  <c r="P354" i="3"/>
  <c r="Q354" i="3" s="1"/>
  <c r="P355" i="3"/>
  <c r="Q355" i="3" s="1"/>
  <c r="P356" i="3"/>
  <c r="Q356" i="3" s="1"/>
  <c r="P357" i="3"/>
  <c r="Q357" i="3" s="1"/>
  <c r="P358" i="3"/>
  <c r="Q358" i="3" s="1"/>
  <c r="P359" i="3"/>
  <c r="Q359" i="3" s="1"/>
  <c r="P360" i="3"/>
  <c r="Q360" i="3" s="1"/>
  <c r="P361" i="3"/>
  <c r="Q361" i="3" s="1"/>
  <c r="P362" i="3"/>
  <c r="Q362" i="3" s="1"/>
  <c r="P363" i="3"/>
  <c r="Q363" i="3" s="1"/>
  <c r="P364" i="3"/>
  <c r="Q364" i="3" s="1"/>
  <c r="P365" i="3"/>
  <c r="Q365" i="3" s="1"/>
  <c r="P366" i="3"/>
  <c r="Q366" i="3" s="1"/>
  <c r="P367" i="3"/>
  <c r="Q367" i="3" s="1"/>
  <c r="P368" i="3"/>
  <c r="Q368" i="3" s="1"/>
  <c r="P369" i="3"/>
  <c r="Q369" i="3" s="1"/>
  <c r="P370" i="3"/>
  <c r="Q370" i="3" s="1"/>
  <c r="P371" i="3"/>
  <c r="Q371" i="3" s="1"/>
  <c r="P372" i="3"/>
  <c r="Q372" i="3" s="1"/>
  <c r="P373" i="3"/>
  <c r="Q373" i="3" s="1"/>
  <c r="P374" i="3"/>
  <c r="Q374" i="3" s="1"/>
  <c r="P375" i="3"/>
  <c r="Q375" i="3" s="1"/>
  <c r="P376" i="3"/>
  <c r="Q376" i="3" s="1"/>
  <c r="P377" i="3"/>
  <c r="Q377" i="3" s="1"/>
  <c r="P378" i="3"/>
  <c r="Q378" i="3" s="1"/>
  <c r="P379" i="3"/>
  <c r="Q379" i="3" s="1"/>
  <c r="P380" i="3"/>
  <c r="Q380" i="3" s="1"/>
  <c r="P381" i="3"/>
  <c r="Q381" i="3" s="1"/>
  <c r="P382" i="3"/>
  <c r="Q382" i="3" s="1"/>
  <c r="P383" i="3"/>
  <c r="Q383" i="3" s="1"/>
  <c r="P384" i="3"/>
  <c r="Q384" i="3" s="1"/>
  <c r="P385" i="3"/>
  <c r="Q385" i="3" s="1"/>
  <c r="P386" i="3"/>
  <c r="Q386" i="3" s="1"/>
  <c r="P387" i="3"/>
  <c r="Q387" i="3" s="1"/>
  <c r="P388" i="3"/>
  <c r="Q388" i="3" s="1"/>
  <c r="P389" i="3"/>
  <c r="Q389" i="3" s="1"/>
  <c r="P390" i="3"/>
  <c r="Q390" i="3" s="1"/>
  <c r="P391" i="3"/>
  <c r="Q391" i="3" s="1"/>
  <c r="P392" i="3"/>
  <c r="Q392" i="3" s="1"/>
  <c r="P393" i="3"/>
  <c r="Q393" i="3" s="1"/>
  <c r="P394" i="3"/>
  <c r="Q394" i="3" s="1"/>
  <c r="P395" i="3"/>
  <c r="Q395" i="3" s="1"/>
  <c r="P396" i="3"/>
  <c r="Q396" i="3" s="1"/>
  <c r="P397" i="3"/>
  <c r="Q397" i="3" s="1"/>
  <c r="P398" i="3"/>
  <c r="Q398" i="3" s="1"/>
  <c r="P399" i="3"/>
  <c r="Q399" i="3" s="1"/>
  <c r="P400" i="3"/>
  <c r="Q400" i="3" s="1"/>
  <c r="P401" i="3"/>
  <c r="Q401" i="3" s="1"/>
  <c r="P402" i="3"/>
  <c r="Q402" i="3" s="1"/>
  <c r="P403" i="3"/>
  <c r="Q403" i="3" s="1"/>
  <c r="P404" i="3"/>
  <c r="Q404" i="3" s="1"/>
  <c r="P405" i="3"/>
  <c r="Q405" i="3" s="1"/>
  <c r="P406" i="3"/>
  <c r="Q406" i="3" s="1"/>
  <c r="P407" i="3"/>
  <c r="Q407" i="3" s="1"/>
  <c r="P408" i="3"/>
  <c r="Q408" i="3" s="1"/>
  <c r="P409" i="3"/>
  <c r="Q409" i="3" s="1"/>
  <c r="P410" i="3"/>
  <c r="Q410" i="3" s="1"/>
  <c r="P411" i="3"/>
  <c r="Q411" i="3" s="1"/>
  <c r="P412" i="3"/>
  <c r="Q412" i="3" s="1"/>
  <c r="P413" i="3"/>
  <c r="Q413" i="3" s="1"/>
  <c r="P414" i="3"/>
  <c r="Q414" i="3" s="1"/>
  <c r="P415" i="3"/>
  <c r="Q415" i="3" s="1"/>
  <c r="P416" i="3"/>
  <c r="Q416" i="3" s="1"/>
  <c r="P417" i="3"/>
  <c r="Q417" i="3" s="1"/>
  <c r="P418" i="3"/>
  <c r="Q418" i="3" s="1"/>
  <c r="P419" i="3"/>
  <c r="Q419" i="3" s="1"/>
  <c r="N5" i="3"/>
  <c r="O5" i="3" s="1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7" i="3"/>
  <c r="O17" i="3" s="1"/>
  <c r="N18" i="3"/>
  <c r="O18" i="3" s="1"/>
  <c r="N19" i="3"/>
  <c r="O19" i="3" s="1"/>
  <c r="N20" i="3"/>
  <c r="O20" i="3" s="1"/>
  <c r="N21" i="3"/>
  <c r="O21" i="3" s="1"/>
  <c r="N22" i="3"/>
  <c r="O22" i="3" s="1"/>
  <c r="N23" i="3"/>
  <c r="O23" i="3" s="1"/>
  <c r="N24" i="3"/>
  <c r="O24" i="3" s="1"/>
  <c r="N25" i="3"/>
  <c r="O25" i="3" s="1"/>
  <c r="N26" i="3"/>
  <c r="O26" i="3" s="1"/>
  <c r="N27" i="3"/>
  <c r="O27" i="3" s="1"/>
  <c r="N28" i="3"/>
  <c r="O28" i="3" s="1"/>
  <c r="N29" i="3"/>
  <c r="O29" i="3" s="1"/>
  <c r="N30" i="3"/>
  <c r="O30" i="3" s="1"/>
  <c r="N31" i="3"/>
  <c r="O31" i="3" s="1"/>
  <c r="N32" i="3"/>
  <c r="O32" i="3" s="1"/>
  <c r="N33" i="3"/>
  <c r="O33" i="3" s="1"/>
  <c r="N34" i="3"/>
  <c r="O34" i="3" s="1"/>
  <c r="N35" i="3"/>
  <c r="O35" i="3" s="1"/>
  <c r="N36" i="3"/>
  <c r="O36" i="3" s="1"/>
  <c r="N37" i="3"/>
  <c r="O37" i="3" s="1"/>
  <c r="N38" i="3"/>
  <c r="O38" i="3" s="1"/>
  <c r="N39" i="3"/>
  <c r="O39" i="3" s="1"/>
  <c r="N40" i="3"/>
  <c r="O40" i="3" s="1"/>
  <c r="N41" i="3"/>
  <c r="O41" i="3" s="1"/>
  <c r="N42" i="3"/>
  <c r="O42" i="3" s="1"/>
  <c r="N43" i="3"/>
  <c r="O43" i="3" s="1"/>
  <c r="N44" i="3"/>
  <c r="O44" i="3" s="1"/>
  <c r="N45" i="3"/>
  <c r="O45" i="3" s="1"/>
  <c r="N46" i="3"/>
  <c r="O46" i="3" s="1"/>
  <c r="N47" i="3"/>
  <c r="O47" i="3" s="1"/>
  <c r="N48" i="3"/>
  <c r="O48" i="3" s="1"/>
  <c r="N49" i="3"/>
  <c r="O49" i="3" s="1"/>
  <c r="N50" i="3"/>
  <c r="O50" i="3" s="1"/>
  <c r="N51" i="3"/>
  <c r="O51" i="3" s="1"/>
  <c r="N52" i="3"/>
  <c r="O52" i="3" s="1"/>
  <c r="N53" i="3"/>
  <c r="O53" i="3" s="1"/>
  <c r="N54" i="3"/>
  <c r="O54" i="3" s="1"/>
  <c r="N55" i="3"/>
  <c r="O55" i="3" s="1"/>
  <c r="N56" i="3"/>
  <c r="O56" i="3" s="1"/>
  <c r="N57" i="3"/>
  <c r="O57" i="3" s="1"/>
  <c r="N58" i="3"/>
  <c r="O58" i="3" s="1"/>
  <c r="N59" i="3"/>
  <c r="O59" i="3" s="1"/>
  <c r="N60" i="3"/>
  <c r="O60" i="3" s="1"/>
  <c r="N61" i="3"/>
  <c r="O61" i="3" s="1"/>
  <c r="N62" i="3"/>
  <c r="O62" i="3" s="1"/>
  <c r="N63" i="3"/>
  <c r="O63" i="3" s="1"/>
  <c r="N64" i="3"/>
  <c r="O64" i="3" s="1"/>
  <c r="N65" i="3"/>
  <c r="O65" i="3" s="1"/>
  <c r="N69" i="3"/>
  <c r="O69" i="3" s="1"/>
  <c r="N72" i="3"/>
  <c r="O72" i="3" s="1"/>
  <c r="N73" i="3"/>
  <c r="O73" i="3" s="1"/>
  <c r="N74" i="3"/>
  <c r="O74" i="3" s="1"/>
  <c r="N75" i="3"/>
  <c r="O75" i="3" s="1"/>
  <c r="N76" i="3"/>
  <c r="O76" i="3" s="1"/>
  <c r="N77" i="3"/>
  <c r="O77" i="3" s="1"/>
  <c r="N78" i="3"/>
  <c r="O78" i="3" s="1"/>
  <c r="N79" i="3"/>
  <c r="O79" i="3" s="1"/>
  <c r="N80" i="3"/>
  <c r="O80" i="3" s="1"/>
  <c r="N81" i="3"/>
  <c r="O81" i="3" s="1"/>
  <c r="N82" i="3"/>
  <c r="O82" i="3" s="1"/>
  <c r="N83" i="3"/>
  <c r="O83" i="3" s="1"/>
  <c r="N84" i="3"/>
  <c r="O84" i="3" s="1"/>
  <c r="N85" i="3"/>
  <c r="O85" i="3" s="1"/>
  <c r="N86" i="3"/>
  <c r="O86" i="3" s="1"/>
  <c r="N87" i="3"/>
  <c r="O87" i="3" s="1"/>
  <c r="N90" i="3"/>
  <c r="O90" i="3" s="1"/>
  <c r="N91" i="3"/>
  <c r="O91" i="3" s="1"/>
  <c r="N92" i="3"/>
  <c r="O92" i="3" s="1"/>
  <c r="N93" i="3"/>
  <c r="O93" i="3" s="1"/>
  <c r="N94" i="3"/>
  <c r="O94" i="3" s="1"/>
  <c r="N95" i="3"/>
  <c r="O95" i="3" s="1"/>
  <c r="N96" i="3"/>
  <c r="O96" i="3" s="1"/>
  <c r="N97" i="3"/>
  <c r="O97" i="3" s="1"/>
  <c r="N98" i="3"/>
  <c r="O98" i="3" s="1"/>
  <c r="N99" i="3"/>
  <c r="O99" i="3" s="1"/>
  <c r="N100" i="3"/>
  <c r="O100" i="3" s="1"/>
  <c r="N101" i="3"/>
  <c r="O101" i="3" s="1"/>
  <c r="N102" i="3"/>
  <c r="O102" i="3" s="1"/>
  <c r="N103" i="3"/>
  <c r="O103" i="3" s="1"/>
  <c r="N104" i="3"/>
  <c r="O104" i="3" s="1"/>
  <c r="N105" i="3"/>
  <c r="O105" i="3" s="1"/>
  <c r="N106" i="3"/>
  <c r="O106" i="3" s="1"/>
  <c r="N107" i="3"/>
  <c r="O107" i="3" s="1"/>
  <c r="N108" i="3"/>
  <c r="O108" i="3" s="1"/>
  <c r="N109" i="3"/>
  <c r="O109" i="3" s="1"/>
  <c r="N110" i="3"/>
  <c r="O110" i="3" s="1"/>
  <c r="N111" i="3"/>
  <c r="O111" i="3" s="1"/>
  <c r="N112" i="3"/>
  <c r="O112" i="3" s="1"/>
  <c r="N113" i="3"/>
  <c r="O113" i="3" s="1"/>
  <c r="N114" i="3"/>
  <c r="O114" i="3" s="1"/>
  <c r="N115" i="3"/>
  <c r="O115" i="3" s="1"/>
  <c r="N116" i="3"/>
  <c r="O116" i="3" s="1"/>
  <c r="N117" i="3"/>
  <c r="O117" i="3" s="1"/>
  <c r="N118" i="3"/>
  <c r="O118" i="3" s="1"/>
  <c r="N119" i="3"/>
  <c r="O119" i="3" s="1"/>
  <c r="N120" i="3"/>
  <c r="O120" i="3" s="1"/>
  <c r="N121" i="3"/>
  <c r="O121" i="3" s="1"/>
  <c r="N122" i="3"/>
  <c r="O122" i="3" s="1"/>
  <c r="N123" i="3"/>
  <c r="O123" i="3" s="1"/>
  <c r="N124" i="3"/>
  <c r="O124" i="3" s="1"/>
  <c r="N125" i="3"/>
  <c r="O125" i="3" s="1"/>
  <c r="N126" i="3"/>
  <c r="O126" i="3" s="1"/>
  <c r="N127" i="3"/>
  <c r="O127" i="3" s="1"/>
  <c r="N128" i="3"/>
  <c r="O128" i="3" s="1"/>
  <c r="N129" i="3"/>
  <c r="O129" i="3" s="1"/>
  <c r="N130" i="3"/>
  <c r="O130" i="3" s="1"/>
  <c r="N131" i="3"/>
  <c r="O131" i="3" s="1"/>
  <c r="N132" i="3"/>
  <c r="O132" i="3" s="1"/>
  <c r="N133" i="3"/>
  <c r="O133" i="3" s="1"/>
  <c r="N134" i="3"/>
  <c r="O134" i="3" s="1"/>
  <c r="N135" i="3"/>
  <c r="O135" i="3" s="1"/>
  <c r="N136" i="3"/>
  <c r="O136" i="3" s="1"/>
  <c r="N137" i="3"/>
  <c r="O137" i="3" s="1"/>
  <c r="N138" i="3"/>
  <c r="O138" i="3" s="1"/>
  <c r="N139" i="3"/>
  <c r="O139" i="3" s="1"/>
  <c r="N140" i="3"/>
  <c r="O140" i="3" s="1"/>
  <c r="N141" i="3"/>
  <c r="O141" i="3" s="1"/>
  <c r="N142" i="3"/>
  <c r="O142" i="3" s="1"/>
  <c r="N143" i="3"/>
  <c r="O143" i="3" s="1"/>
  <c r="N144" i="3"/>
  <c r="O144" i="3" s="1"/>
  <c r="N145" i="3"/>
  <c r="O145" i="3" s="1"/>
  <c r="N146" i="3"/>
  <c r="O146" i="3" s="1"/>
  <c r="N147" i="3"/>
  <c r="O147" i="3" s="1"/>
  <c r="N148" i="3"/>
  <c r="O148" i="3" s="1"/>
  <c r="N149" i="3"/>
  <c r="O149" i="3" s="1"/>
  <c r="N150" i="3"/>
  <c r="O150" i="3" s="1"/>
  <c r="N151" i="3"/>
  <c r="O151" i="3" s="1"/>
  <c r="N152" i="3"/>
  <c r="O152" i="3" s="1"/>
  <c r="N153" i="3"/>
  <c r="O153" i="3" s="1"/>
  <c r="N154" i="3"/>
  <c r="O154" i="3" s="1"/>
  <c r="N155" i="3"/>
  <c r="O155" i="3" s="1"/>
  <c r="N156" i="3"/>
  <c r="O156" i="3" s="1"/>
  <c r="N157" i="3"/>
  <c r="O157" i="3" s="1"/>
  <c r="N158" i="3"/>
  <c r="O158" i="3" s="1"/>
  <c r="N159" i="3"/>
  <c r="O159" i="3" s="1"/>
  <c r="N160" i="3"/>
  <c r="O160" i="3" s="1"/>
  <c r="N161" i="3"/>
  <c r="O161" i="3" s="1"/>
  <c r="N162" i="3"/>
  <c r="O162" i="3" s="1"/>
  <c r="N163" i="3"/>
  <c r="O163" i="3" s="1"/>
  <c r="N164" i="3"/>
  <c r="O164" i="3" s="1"/>
  <c r="N165" i="3"/>
  <c r="O165" i="3" s="1"/>
  <c r="N166" i="3"/>
  <c r="O166" i="3" s="1"/>
  <c r="N167" i="3"/>
  <c r="O167" i="3" s="1"/>
  <c r="N168" i="3"/>
  <c r="O168" i="3" s="1"/>
  <c r="N169" i="3"/>
  <c r="O169" i="3" s="1"/>
  <c r="N170" i="3"/>
  <c r="O170" i="3" s="1"/>
  <c r="N171" i="3"/>
  <c r="O171" i="3" s="1"/>
  <c r="N172" i="3"/>
  <c r="O172" i="3" s="1"/>
  <c r="N173" i="3"/>
  <c r="O173" i="3" s="1"/>
  <c r="N174" i="3"/>
  <c r="O174" i="3" s="1"/>
  <c r="N175" i="3"/>
  <c r="O175" i="3" s="1"/>
  <c r="N176" i="3"/>
  <c r="O176" i="3" s="1"/>
  <c r="N177" i="3"/>
  <c r="O177" i="3" s="1"/>
  <c r="N178" i="3"/>
  <c r="O178" i="3" s="1"/>
  <c r="N179" i="3"/>
  <c r="O179" i="3" s="1"/>
  <c r="N180" i="3"/>
  <c r="O180" i="3" s="1"/>
  <c r="N181" i="3"/>
  <c r="O181" i="3" s="1"/>
  <c r="N182" i="3"/>
  <c r="O182" i="3" s="1"/>
  <c r="N183" i="3"/>
  <c r="O183" i="3" s="1"/>
  <c r="N184" i="3"/>
  <c r="O184" i="3" s="1"/>
  <c r="N185" i="3"/>
  <c r="O185" i="3" s="1"/>
  <c r="N186" i="3"/>
  <c r="O186" i="3" s="1"/>
  <c r="N187" i="3"/>
  <c r="O187" i="3" s="1"/>
  <c r="N188" i="3"/>
  <c r="O188" i="3" s="1"/>
  <c r="N189" i="3"/>
  <c r="O189" i="3" s="1"/>
  <c r="N190" i="3"/>
  <c r="O190" i="3" s="1"/>
  <c r="N191" i="3"/>
  <c r="O191" i="3" s="1"/>
  <c r="N192" i="3"/>
  <c r="O192" i="3" s="1"/>
  <c r="N193" i="3"/>
  <c r="O193" i="3" s="1"/>
  <c r="N194" i="3"/>
  <c r="O194" i="3" s="1"/>
  <c r="N195" i="3"/>
  <c r="O195" i="3" s="1"/>
  <c r="N196" i="3"/>
  <c r="O196" i="3" s="1"/>
  <c r="N197" i="3"/>
  <c r="O197" i="3" s="1"/>
  <c r="N198" i="3"/>
  <c r="O198" i="3" s="1"/>
  <c r="N199" i="3"/>
  <c r="O199" i="3" s="1"/>
  <c r="N200" i="3"/>
  <c r="O200" i="3" s="1"/>
  <c r="N201" i="3"/>
  <c r="O201" i="3" s="1"/>
  <c r="N202" i="3"/>
  <c r="O202" i="3" s="1"/>
  <c r="N203" i="3"/>
  <c r="O203" i="3" s="1"/>
  <c r="N204" i="3"/>
  <c r="O204" i="3" s="1"/>
  <c r="N205" i="3"/>
  <c r="O205" i="3" s="1"/>
  <c r="N206" i="3"/>
  <c r="O206" i="3" s="1"/>
  <c r="N207" i="3"/>
  <c r="O207" i="3" s="1"/>
  <c r="N208" i="3"/>
  <c r="O208" i="3" s="1"/>
  <c r="N209" i="3"/>
  <c r="O209" i="3" s="1"/>
  <c r="N210" i="3"/>
  <c r="O210" i="3" s="1"/>
  <c r="N211" i="3"/>
  <c r="O211" i="3" s="1"/>
  <c r="N212" i="3"/>
  <c r="O212" i="3" s="1"/>
  <c r="N215" i="3"/>
  <c r="O215" i="3" s="1"/>
  <c r="N216" i="3"/>
  <c r="O216" i="3" s="1"/>
  <c r="N217" i="3"/>
  <c r="O217" i="3" s="1"/>
  <c r="N218" i="3"/>
  <c r="O218" i="3" s="1"/>
  <c r="N219" i="3"/>
  <c r="O219" i="3" s="1"/>
  <c r="N220" i="3"/>
  <c r="O220" i="3" s="1"/>
  <c r="N221" i="3"/>
  <c r="O221" i="3" s="1"/>
  <c r="N222" i="3"/>
  <c r="O222" i="3" s="1"/>
  <c r="N223" i="3"/>
  <c r="O223" i="3" s="1"/>
  <c r="N224" i="3"/>
  <c r="O224" i="3" s="1"/>
  <c r="N225" i="3"/>
  <c r="O225" i="3" s="1"/>
  <c r="N226" i="3"/>
  <c r="O226" i="3" s="1"/>
  <c r="N227" i="3"/>
  <c r="O227" i="3" s="1"/>
  <c r="N228" i="3"/>
  <c r="O228" i="3" s="1"/>
  <c r="N229" i="3"/>
  <c r="O229" i="3" s="1"/>
  <c r="N230" i="3"/>
  <c r="O230" i="3" s="1"/>
  <c r="N231" i="3"/>
  <c r="O231" i="3" s="1"/>
  <c r="N232" i="3"/>
  <c r="O232" i="3" s="1"/>
  <c r="N233" i="3"/>
  <c r="O233" i="3" s="1"/>
  <c r="N234" i="3"/>
  <c r="O234" i="3" s="1"/>
  <c r="N235" i="3"/>
  <c r="O235" i="3" s="1"/>
  <c r="N236" i="3"/>
  <c r="O236" i="3" s="1"/>
  <c r="N237" i="3"/>
  <c r="O237" i="3" s="1"/>
  <c r="N238" i="3"/>
  <c r="O238" i="3" s="1"/>
  <c r="N239" i="3"/>
  <c r="O239" i="3" s="1"/>
  <c r="N240" i="3"/>
  <c r="O240" i="3" s="1"/>
  <c r="N241" i="3"/>
  <c r="O241" i="3" s="1"/>
  <c r="N242" i="3"/>
  <c r="O242" i="3" s="1"/>
  <c r="N243" i="3"/>
  <c r="O243" i="3" s="1"/>
  <c r="N244" i="3"/>
  <c r="O244" i="3" s="1"/>
  <c r="N245" i="3"/>
  <c r="O245" i="3" s="1"/>
  <c r="N246" i="3"/>
  <c r="O246" i="3" s="1"/>
  <c r="N247" i="3"/>
  <c r="O247" i="3" s="1"/>
  <c r="N248" i="3"/>
  <c r="O248" i="3" s="1"/>
  <c r="N249" i="3"/>
  <c r="O249" i="3" s="1"/>
  <c r="N250" i="3"/>
  <c r="O250" i="3" s="1"/>
  <c r="N251" i="3"/>
  <c r="O251" i="3" s="1"/>
  <c r="N252" i="3"/>
  <c r="O252" i="3" s="1"/>
  <c r="N253" i="3"/>
  <c r="O253" i="3" s="1"/>
  <c r="N254" i="3"/>
  <c r="O254" i="3" s="1"/>
  <c r="N255" i="3"/>
  <c r="O255" i="3" s="1"/>
  <c r="N256" i="3"/>
  <c r="O256" i="3" s="1"/>
  <c r="N257" i="3"/>
  <c r="O257" i="3" s="1"/>
  <c r="N258" i="3"/>
  <c r="O258" i="3" s="1"/>
  <c r="N259" i="3"/>
  <c r="O259" i="3" s="1"/>
  <c r="N260" i="3"/>
  <c r="O260" i="3" s="1"/>
  <c r="N261" i="3"/>
  <c r="O261" i="3" s="1"/>
  <c r="N262" i="3"/>
  <c r="O262" i="3" s="1"/>
  <c r="N263" i="3"/>
  <c r="O263" i="3" s="1"/>
  <c r="N264" i="3"/>
  <c r="O264" i="3" s="1"/>
  <c r="N265" i="3"/>
  <c r="O265" i="3" s="1"/>
  <c r="N266" i="3"/>
  <c r="O266" i="3" s="1"/>
  <c r="N267" i="3"/>
  <c r="O267" i="3" s="1"/>
  <c r="N268" i="3"/>
  <c r="O268" i="3" s="1"/>
  <c r="N269" i="3"/>
  <c r="O269" i="3" s="1"/>
  <c r="N270" i="3"/>
  <c r="O270" i="3" s="1"/>
  <c r="N271" i="3"/>
  <c r="O271" i="3" s="1"/>
  <c r="N272" i="3"/>
  <c r="O272" i="3" s="1"/>
  <c r="N273" i="3"/>
  <c r="O273" i="3" s="1"/>
  <c r="N274" i="3"/>
  <c r="O274" i="3" s="1"/>
  <c r="N275" i="3"/>
  <c r="O275" i="3" s="1"/>
  <c r="N276" i="3"/>
  <c r="O276" i="3" s="1"/>
  <c r="N278" i="3"/>
  <c r="O278" i="3" s="1"/>
  <c r="N282" i="3"/>
  <c r="O282" i="3" s="1"/>
  <c r="N283" i="3"/>
  <c r="O283" i="3" s="1"/>
  <c r="N284" i="3"/>
  <c r="O284" i="3" s="1"/>
  <c r="N285" i="3"/>
  <c r="O285" i="3" s="1"/>
  <c r="N286" i="3"/>
  <c r="O286" i="3" s="1"/>
  <c r="N287" i="3"/>
  <c r="O287" i="3" s="1"/>
  <c r="N288" i="3"/>
  <c r="O288" i="3" s="1"/>
  <c r="N289" i="3"/>
  <c r="O289" i="3" s="1"/>
  <c r="N290" i="3"/>
  <c r="O290" i="3" s="1"/>
  <c r="N291" i="3"/>
  <c r="O291" i="3" s="1"/>
  <c r="N292" i="3"/>
  <c r="O292" i="3" s="1"/>
  <c r="N293" i="3"/>
  <c r="O293" i="3" s="1"/>
  <c r="N294" i="3"/>
  <c r="O294" i="3" s="1"/>
  <c r="N295" i="3"/>
  <c r="O295" i="3" s="1"/>
  <c r="N296" i="3"/>
  <c r="O296" i="3" s="1"/>
  <c r="N297" i="3"/>
  <c r="O297" i="3" s="1"/>
  <c r="N298" i="3"/>
  <c r="O298" i="3" s="1"/>
  <c r="N299" i="3"/>
  <c r="O299" i="3" s="1"/>
  <c r="N300" i="3"/>
  <c r="O300" i="3" s="1"/>
  <c r="N301" i="3"/>
  <c r="O301" i="3" s="1"/>
  <c r="N302" i="3"/>
  <c r="O302" i="3" s="1"/>
  <c r="N303" i="3"/>
  <c r="O303" i="3" s="1"/>
  <c r="N304" i="3"/>
  <c r="O304" i="3" s="1"/>
  <c r="N305" i="3"/>
  <c r="O305" i="3" s="1"/>
  <c r="N306" i="3"/>
  <c r="O306" i="3" s="1"/>
  <c r="N307" i="3"/>
  <c r="O307" i="3" s="1"/>
  <c r="N308" i="3"/>
  <c r="O308" i="3" s="1"/>
  <c r="N309" i="3"/>
  <c r="O309" i="3" s="1"/>
  <c r="N310" i="3"/>
  <c r="O310" i="3" s="1"/>
  <c r="N311" i="3"/>
  <c r="O311" i="3" s="1"/>
  <c r="N312" i="3"/>
  <c r="O312" i="3" s="1"/>
  <c r="N313" i="3"/>
  <c r="O313" i="3" s="1"/>
  <c r="N314" i="3"/>
  <c r="O314" i="3" s="1"/>
  <c r="N315" i="3"/>
  <c r="O315" i="3" s="1"/>
  <c r="N316" i="3"/>
  <c r="O316" i="3" s="1"/>
  <c r="N317" i="3"/>
  <c r="O317" i="3" s="1"/>
  <c r="N318" i="3"/>
  <c r="O318" i="3" s="1"/>
  <c r="N319" i="3"/>
  <c r="O319" i="3" s="1"/>
  <c r="N320" i="3"/>
  <c r="O320" i="3" s="1"/>
  <c r="N321" i="3"/>
  <c r="O321" i="3" s="1"/>
  <c r="N322" i="3"/>
  <c r="O322" i="3" s="1"/>
  <c r="N323" i="3"/>
  <c r="O323" i="3" s="1"/>
  <c r="N324" i="3"/>
  <c r="O324" i="3" s="1"/>
  <c r="N325" i="3"/>
  <c r="O325" i="3" s="1"/>
  <c r="N326" i="3"/>
  <c r="O326" i="3" s="1"/>
  <c r="N327" i="3"/>
  <c r="O327" i="3" s="1"/>
  <c r="N328" i="3"/>
  <c r="O328" i="3" s="1"/>
  <c r="N329" i="3"/>
  <c r="O329" i="3" s="1"/>
  <c r="N330" i="3"/>
  <c r="O330" i="3" s="1"/>
  <c r="N331" i="3"/>
  <c r="O331" i="3" s="1"/>
  <c r="N332" i="3"/>
  <c r="O332" i="3" s="1"/>
  <c r="N333" i="3"/>
  <c r="O333" i="3" s="1"/>
  <c r="N334" i="3"/>
  <c r="O334" i="3" s="1"/>
  <c r="N335" i="3"/>
  <c r="O335" i="3" s="1"/>
  <c r="N336" i="3"/>
  <c r="O336" i="3" s="1"/>
  <c r="N337" i="3"/>
  <c r="O337" i="3" s="1"/>
  <c r="N338" i="3"/>
  <c r="O338" i="3" s="1"/>
  <c r="N339" i="3"/>
  <c r="O339" i="3" s="1"/>
  <c r="N340" i="3"/>
  <c r="O340" i="3" s="1"/>
  <c r="N341" i="3"/>
  <c r="O341" i="3" s="1"/>
  <c r="N342" i="3"/>
  <c r="O342" i="3" s="1"/>
  <c r="N343" i="3"/>
  <c r="O343" i="3" s="1"/>
  <c r="N344" i="3"/>
  <c r="O344" i="3" s="1"/>
  <c r="N345" i="3"/>
  <c r="O345" i="3" s="1"/>
  <c r="N346" i="3"/>
  <c r="O346" i="3" s="1"/>
  <c r="N347" i="3"/>
  <c r="O347" i="3" s="1"/>
  <c r="N348" i="3"/>
  <c r="O348" i="3" s="1"/>
  <c r="N349" i="3"/>
  <c r="O349" i="3" s="1"/>
  <c r="N350" i="3"/>
  <c r="O350" i="3" s="1"/>
  <c r="N351" i="3"/>
  <c r="O351" i="3" s="1"/>
  <c r="N352" i="3"/>
  <c r="O352" i="3" s="1"/>
  <c r="N353" i="3"/>
  <c r="O353" i="3" s="1"/>
  <c r="N354" i="3"/>
  <c r="O354" i="3" s="1"/>
  <c r="N355" i="3"/>
  <c r="O355" i="3" s="1"/>
  <c r="N356" i="3"/>
  <c r="O356" i="3" s="1"/>
  <c r="N357" i="3"/>
  <c r="O357" i="3" s="1"/>
  <c r="N358" i="3"/>
  <c r="O358" i="3" s="1"/>
  <c r="N359" i="3"/>
  <c r="O359" i="3" s="1"/>
  <c r="N360" i="3"/>
  <c r="O360" i="3" s="1"/>
  <c r="N361" i="3"/>
  <c r="O361" i="3" s="1"/>
  <c r="N362" i="3"/>
  <c r="O362" i="3" s="1"/>
  <c r="N363" i="3"/>
  <c r="O363" i="3" s="1"/>
  <c r="N364" i="3"/>
  <c r="O364" i="3" s="1"/>
  <c r="N365" i="3"/>
  <c r="O365" i="3" s="1"/>
  <c r="N366" i="3"/>
  <c r="O366" i="3" s="1"/>
  <c r="N367" i="3"/>
  <c r="O367" i="3" s="1"/>
  <c r="N368" i="3"/>
  <c r="O368" i="3" s="1"/>
  <c r="N369" i="3"/>
  <c r="O369" i="3" s="1"/>
  <c r="N370" i="3"/>
  <c r="O370" i="3" s="1"/>
  <c r="N371" i="3"/>
  <c r="O371" i="3" s="1"/>
  <c r="N372" i="3"/>
  <c r="O372" i="3" s="1"/>
  <c r="N373" i="3"/>
  <c r="O373" i="3" s="1"/>
  <c r="N374" i="3"/>
  <c r="O374" i="3" s="1"/>
  <c r="N375" i="3"/>
  <c r="O375" i="3" s="1"/>
  <c r="N376" i="3"/>
  <c r="O376" i="3" s="1"/>
  <c r="N377" i="3"/>
  <c r="O377" i="3" s="1"/>
  <c r="N378" i="3"/>
  <c r="O378" i="3" s="1"/>
  <c r="N379" i="3"/>
  <c r="O379" i="3" s="1"/>
  <c r="N380" i="3"/>
  <c r="O380" i="3" s="1"/>
  <c r="N381" i="3"/>
  <c r="O381" i="3" s="1"/>
  <c r="N382" i="3"/>
  <c r="O382" i="3" s="1"/>
  <c r="N383" i="3"/>
  <c r="O383" i="3" s="1"/>
  <c r="N384" i="3"/>
  <c r="O384" i="3" s="1"/>
  <c r="N385" i="3"/>
  <c r="O385" i="3" s="1"/>
  <c r="N386" i="3"/>
  <c r="O386" i="3" s="1"/>
  <c r="N387" i="3"/>
  <c r="O387" i="3" s="1"/>
  <c r="N388" i="3"/>
  <c r="O388" i="3" s="1"/>
  <c r="N389" i="3"/>
  <c r="O389" i="3" s="1"/>
  <c r="N390" i="3"/>
  <c r="O390" i="3" s="1"/>
  <c r="N391" i="3"/>
  <c r="O391" i="3" s="1"/>
  <c r="N392" i="3"/>
  <c r="O392" i="3" s="1"/>
  <c r="N393" i="3"/>
  <c r="O393" i="3" s="1"/>
  <c r="N394" i="3"/>
  <c r="O394" i="3" s="1"/>
  <c r="N395" i="3"/>
  <c r="O395" i="3" s="1"/>
  <c r="N396" i="3"/>
  <c r="O396" i="3" s="1"/>
  <c r="N397" i="3"/>
  <c r="O397" i="3" s="1"/>
  <c r="N398" i="3"/>
  <c r="O398" i="3" s="1"/>
  <c r="N399" i="3"/>
  <c r="O399" i="3" s="1"/>
  <c r="N400" i="3"/>
  <c r="O400" i="3" s="1"/>
  <c r="N401" i="3"/>
  <c r="O401" i="3" s="1"/>
  <c r="N402" i="3"/>
  <c r="O402" i="3" s="1"/>
  <c r="N403" i="3"/>
  <c r="O403" i="3" s="1"/>
  <c r="N404" i="3"/>
  <c r="O404" i="3" s="1"/>
  <c r="N405" i="3"/>
  <c r="O405" i="3" s="1"/>
  <c r="N406" i="3"/>
  <c r="O406" i="3" s="1"/>
  <c r="N407" i="3"/>
  <c r="O407" i="3" s="1"/>
  <c r="N408" i="3"/>
  <c r="O408" i="3" s="1"/>
  <c r="N409" i="3"/>
  <c r="O409" i="3" s="1"/>
  <c r="N410" i="3"/>
  <c r="O410" i="3" s="1"/>
  <c r="N411" i="3"/>
  <c r="O411" i="3" s="1"/>
  <c r="N412" i="3"/>
  <c r="O412" i="3" s="1"/>
  <c r="N413" i="3"/>
  <c r="O413" i="3" s="1"/>
  <c r="N414" i="3"/>
  <c r="O414" i="3" s="1"/>
  <c r="N415" i="3"/>
  <c r="O415" i="3" s="1"/>
  <c r="N416" i="3"/>
  <c r="O416" i="3" s="1"/>
  <c r="N417" i="3"/>
  <c r="O417" i="3" s="1"/>
  <c r="N418" i="3"/>
  <c r="O418" i="3" s="1"/>
  <c r="N419" i="3"/>
  <c r="O419" i="3" s="1"/>
  <c r="L5" i="3"/>
  <c r="M5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33" i="3"/>
  <c r="M33" i="3" s="1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9" i="3"/>
  <c r="M49" i="3" s="1"/>
  <c r="L50" i="3"/>
  <c r="M50" i="3" s="1"/>
  <c r="L51" i="3"/>
  <c r="M51" i="3" s="1"/>
  <c r="L52" i="3"/>
  <c r="M52" i="3" s="1"/>
  <c r="L53" i="3"/>
  <c r="M53" i="3" s="1"/>
  <c r="L54" i="3"/>
  <c r="M54" i="3" s="1"/>
  <c r="L55" i="3"/>
  <c r="M55" i="3" s="1"/>
  <c r="L56" i="3"/>
  <c r="M56" i="3" s="1"/>
  <c r="L57" i="3"/>
  <c r="M57" i="3" s="1"/>
  <c r="L58" i="3"/>
  <c r="M58" i="3" s="1"/>
  <c r="L59" i="3"/>
  <c r="M59" i="3" s="1"/>
  <c r="L60" i="3"/>
  <c r="M60" i="3" s="1"/>
  <c r="L61" i="3"/>
  <c r="M61" i="3" s="1"/>
  <c r="L62" i="3"/>
  <c r="M62" i="3" s="1"/>
  <c r="L63" i="3"/>
  <c r="M63" i="3" s="1"/>
  <c r="L64" i="3"/>
  <c r="M64" i="3" s="1"/>
  <c r="L65" i="3"/>
  <c r="M65" i="3" s="1"/>
  <c r="L69" i="3"/>
  <c r="M69" i="3" s="1"/>
  <c r="L72" i="3"/>
  <c r="M72" i="3" s="1"/>
  <c r="L73" i="3"/>
  <c r="M73" i="3" s="1"/>
  <c r="L74" i="3"/>
  <c r="M74" i="3" s="1"/>
  <c r="L75" i="3"/>
  <c r="M75" i="3" s="1"/>
  <c r="L76" i="3"/>
  <c r="M76" i="3" s="1"/>
  <c r="L77" i="3"/>
  <c r="M77" i="3" s="1"/>
  <c r="L78" i="3"/>
  <c r="M78" i="3" s="1"/>
  <c r="L79" i="3"/>
  <c r="M79" i="3" s="1"/>
  <c r="L80" i="3"/>
  <c r="M80" i="3" s="1"/>
  <c r="L81" i="3"/>
  <c r="M81" i="3" s="1"/>
  <c r="L82" i="3"/>
  <c r="M82" i="3" s="1"/>
  <c r="L83" i="3"/>
  <c r="M83" i="3" s="1"/>
  <c r="L84" i="3"/>
  <c r="M84" i="3" s="1"/>
  <c r="L85" i="3"/>
  <c r="M85" i="3" s="1"/>
  <c r="L86" i="3"/>
  <c r="M86" i="3" s="1"/>
  <c r="L87" i="3"/>
  <c r="M87" i="3" s="1"/>
  <c r="L90" i="3"/>
  <c r="M90" i="3" s="1"/>
  <c r="L91" i="3"/>
  <c r="M91" i="3" s="1"/>
  <c r="L92" i="3"/>
  <c r="M92" i="3" s="1"/>
  <c r="L93" i="3"/>
  <c r="M93" i="3" s="1"/>
  <c r="L94" i="3"/>
  <c r="M94" i="3" s="1"/>
  <c r="L95" i="3"/>
  <c r="M95" i="3" s="1"/>
  <c r="L96" i="3"/>
  <c r="M96" i="3" s="1"/>
  <c r="L97" i="3"/>
  <c r="M97" i="3" s="1"/>
  <c r="L98" i="3"/>
  <c r="M98" i="3" s="1"/>
  <c r="L99" i="3"/>
  <c r="M99" i="3" s="1"/>
  <c r="L100" i="3"/>
  <c r="M100" i="3" s="1"/>
  <c r="L101" i="3"/>
  <c r="M101" i="3" s="1"/>
  <c r="L102" i="3"/>
  <c r="M102" i="3" s="1"/>
  <c r="L103" i="3"/>
  <c r="M103" i="3" s="1"/>
  <c r="L104" i="3"/>
  <c r="M104" i="3" s="1"/>
  <c r="L105" i="3"/>
  <c r="M105" i="3" s="1"/>
  <c r="L106" i="3"/>
  <c r="M106" i="3" s="1"/>
  <c r="L107" i="3"/>
  <c r="M107" i="3" s="1"/>
  <c r="L108" i="3"/>
  <c r="M108" i="3" s="1"/>
  <c r="L109" i="3"/>
  <c r="M109" i="3" s="1"/>
  <c r="L110" i="3"/>
  <c r="M110" i="3" s="1"/>
  <c r="L111" i="3"/>
  <c r="M111" i="3" s="1"/>
  <c r="L112" i="3"/>
  <c r="M112" i="3" s="1"/>
  <c r="L113" i="3"/>
  <c r="M113" i="3" s="1"/>
  <c r="L114" i="3"/>
  <c r="M114" i="3" s="1"/>
  <c r="L115" i="3"/>
  <c r="M115" i="3" s="1"/>
  <c r="L116" i="3"/>
  <c r="M116" i="3" s="1"/>
  <c r="L117" i="3"/>
  <c r="M117" i="3" s="1"/>
  <c r="L118" i="3"/>
  <c r="M118" i="3" s="1"/>
  <c r="L119" i="3"/>
  <c r="M119" i="3" s="1"/>
  <c r="L120" i="3"/>
  <c r="M120" i="3" s="1"/>
  <c r="L121" i="3"/>
  <c r="M121" i="3" s="1"/>
  <c r="L122" i="3"/>
  <c r="M122" i="3" s="1"/>
  <c r="L123" i="3"/>
  <c r="M123" i="3" s="1"/>
  <c r="L124" i="3"/>
  <c r="M124" i="3" s="1"/>
  <c r="L125" i="3"/>
  <c r="M125" i="3" s="1"/>
  <c r="L126" i="3"/>
  <c r="M126" i="3" s="1"/>
  <c r="L127" i="3"/>
  <c r="M127" i="3" s="1"/>
  <c r="L128" i="3"/>
  <c r="M128" i="3" s="1"/>
  <c r="L129" i="3"/>
  <c r="M129" i="3" s="1"/>
  <c r="L130" i="3"/>
  <c r="M130" i="3" s="1"/>
  <c r="L131" i="3"/>
  <c r="M131" i="3" s="1"/>
  <c r="L132" i="3"/>
  <c r="M132" i="3" s="1"/>
  <c r="L133" i="3"/>
  <c r="M133" i="3" s="1"/>
  <c r="L134" i="3"/>
  <c r="M134" i="3" s="1"/>
  <c r="L135" i="3"/>
  <c r="M135" i="3" s="1"/>
  <c r="L136" i="3"/>
  <c r="M136" i="3" s="1"/>
  <c r="L137" i="3"/>
  <c r="M137" i="3" s="1"/>
  <c r="L138" i="3"/>
  <c r="M138" i="3" s="1"/>
  <c r="L139" i="3"/>
  <c r="M139" i="3" s="1"/>
  <c r="L140" i="3"/>
  <c r="M140" i="3" s="1"/>
  <c r="L141" i="3"/>
  <c r="M141" i="3" s="1"/>
  <c r="L142" i="3"/>
  <c r="M142" i="3" s="1"/>
  <c r="L143" i="3"/>
  <c r="M143" i="3" s="1"/>
  <c r="L144" i="3"/>
  <c r="M144" i="3" s="1"/>
  <c r="L145" i="3"/>
  <c r="M145" i="3" s="1"/>
  <c r="L146" i="3"/>
  <c r="M146" i="3" s="1"/>
  <c r="L147" i="3"/>
  <c r="M147" i="3" s="1"/>
  <c r="L148" i="3"/>
  <c r="M148" i="3" s="1"/>
  <c r="L149" i="3"/>
  <c r="M149" i="3" s="1"/>
  <c r="L150" i="3"/>
  <c r="M150" i="3" s="1"/>
  <c r="L151" i="3"/>
  <c r="M151" i="3" s="1"/>
  <c r="L152" i="3"/>
  <c r="M152" i="3" s="1"/>
  <c r="L153" i="3"/>
  <c r="M153" i="3" s="1"/>
  <c r="L154" i="3"/>
  <c r="M154" i="3" s="1"/>
  <c r="L155" i="3"/>
  <c r="M155" i="3" s="1"/>
  <c r="L156" i="3"/>
  <c r="M156" i="3" s="1"/>
  <c r="L157" i="3"/>
  <c r="M157" i="3" s="1"/>
  <c r="L158" i="3"/>
  <c r="M158" i="3" s="1"/>
  <c r="L159" i="3"/>
  <c r="M159" i="3" s="1"/>
  <c r="L160" i="3"/>
  <c r="M160" i="3" s="1"/>
  <c r="L161" i="3"/>
  <c r="M161" i="3" s="1"/>
  <c r="L162" i="3"/>
  <c r="M162" i="3" s="1"/>
  <c r="L163" i="3"/>
  <c r="M163" i="3" s="1"/>
  <c r="L164" i="3"/>
  <c r="M164" i="3" s="1"/>
  <c r="L165" i="3"/>
  <c r="M165" i="3" s="1"/>
  <c r="L166" i="3"/>
  <c r="M166" i="3" s="1"/>
  <c r="L167" i="3"/>
  <c r="M167" i="3" s="1"/>
  <c r="L168" i="3"/>
  <c r="M168" i="3" s="1"/>
  <c r="L169" i="3"/>
  <c r="M169" i="3" s="1"/>
  <c r="L170" i="3"/>
  <c r="M170" i="3" s="1"/>
  <c r="L171" i="3"/>
  <c r="M171" i="3" s="1"/>
  <c r="L172" i="3"/>
  <c r="M172" i="3" s="1"/>
  <c r="L173" i="3"/>
  <c r="M173" i="3" s="1"/>
  <c r="L174" i="3"/>
  <c r="M174" i="3" s="1"/>
  <c r="L175" i="3"/>
  <c r="M175" i="3" s="1"/>
  <c r="L176" i="3"/>
  <c r="M176" i="3" s="1"/>
  <c r="L177" i="3"/>
  <c r="M177" i="3" s="1"/>
  <c r="L178" i="3"/>
  <c r="M178" i="3" s="1"/>
  <c r="L179" i="3"/>
  <c r="M179" i="3" s="1"/>
  <c r="L180" i="3"/>
  <c r="M180" i="3" s="1"/>
  <c r="L181" i="3"/>
  <c r="M181" i="3" s="1"/>
  <c r="L182" i="3"/>
  <c r="M182" i="3" s="1"/>
  <c r="L183" i="3"/>
  <c r="M183" i="3" s="1"/>
  <c r="L184" i="3"/>
  <c r="M184" i="3" s="1"/>
  <c r="L185" i="3"/>
  <c r="M185" i="3" s="1"/>
  <c r="L186" i="3"/>
  <c r="M186" i="3" s="1"/>
  <c r="L187" i="3"/>
  <c r="M187" i="3" s="1"/>
  <c r="L188" i="3"/>
  <c r="M188" i="3" s="1"/>
  <c r="L189" i="3"/>
  <c r="M189" i="3" s="1"/>
  <c r="L190" i="3"/>
  <c r="M190" i="3" s="1"/>
  <c r="L191" i="3"/>
  <c r="M191" i="3" s="1"/>
  <c r="L192" i="3"/>
  <c r="M192" i="3" s="1"/>
  <c r="L193" i="3"/>
  <c r="M193" i="3" s="1"/>
  <c r="L194" i="3"/>
  <c r="M194" i="3" s="1"/>
  <c r="L195" i="3"/>
  <c r="M195" i="3" s="1"/>
  <c r="L196" i="3"/>
  <c r="M196" i="3" s="1"/>
  <c r="L197" i="3"/>
  <c r="M197" i="3" s="1"/>
  <c r="L198" i="3"/>
  <c r="M198" i="3" s="1"/>
  <c r="L199" i="3"/>
  <c r="M199" i="3" s="1"/>
  <c r="L200" i="3"/>
  <c r="M200" i="3" s="1"/>
  <c r="L201" i="3"/>
  <c r="M201" i="3" s="1"/>
  <c r="L202" i="3"/>
  <c r="M202" i="3" s="1"/>
  <c r="L203" i="3"/>
  <c r="M203" i="3" s="1"/>
  <c r="L204" i="3"/>
  <c r="M204" i="3" s="1"/>
  <c r="L205" i="3"/>
  <c r="M205" i="3" s="1"/>
  <c r="L206" i="3"/>
  <c r="M206" i="3" s="1"/>
  <c r="L207" i="3"/>
  <c r="M207" i="3" s="1"/>
  <c r="L208" i="3"/>
  <c r="M208" i="3" s="1"/>
  <c r="L209" i="3"/>
  <c r="M209" i="3" s="1"/>
  <c r="L210" i="3"/>
  <c r="M210" i="3" s="1"/>
  <c r="L211" i="3"/>
  <c r="M211" i="3" s="1"/>
  <c r="L212" i="3"/>
  <c r="M212" i="3" s="1"/>
  <c r="L215" i="3"/>
  <c r="M215" i="3" s="1"/>
  <c r="L216" i="3"/>
  <c r="M216" i="3" s="1"/>
  <c r="L217" i="3"/>
  <c r="M217" i="3" s="1"/>
  <c r="L218" i="3"/>
  <c r="M218" i="3" s="1"/>
  <c r="L219" i="3"/>
  <c r="M219" i="3" s="1"/>
  <c r="L220" i="3"/>
  <c r="M220" i="3" s="1"/>
  <c r="L221" i="3"/>
  <c r="M221" i="3" s="1"/>
  <c r="L222" i="3"/>
  <c r="M222" i="3" s="1"/>
  <c r="L223" i="3"/>
  <c r="M223" i="3" s="1"/>
  <c r="L224" i="3"/>
  <c r="M224" i="3" s="1"/>
  <c r="L225" i="3"/>
  <c r="M225" i="3" s="1"/>
  <c r="L226" i="3"/>
  <c r="M226" i="3" s="1"/>
  <c r="L227" i="3"/>
  <c r="M227" i="3" s="1"/>
  <c r="L228" i="3"/>
  <c r="M228" i="3" s="1"/>
  <c r="L229" i="3"/>
  <c r="M229" i="3" s="1"/>
  <c r="L230" i="3"/>
  <c r="M230" i="3" s="1"/>
  <c r="L231" i="3"/>
  <c r="M231" i="3" s="1"/>
  <c r="L232" i="3"/>
  <c r="M232" i="3" s="1"/>
  <c r="L233" i="3"/>
  <c r="M233" i="3" s="1"/>
  <c r="L234" i="3"/>
  <c r="M234" i="3" s="1"/>
  <c r="L235" i="3"/>
  <c r="M235" i="3" s="1"/>
  <c r="L236" i="3"/>
  <c r="M236" i="3" s="1"/>
  <c r="L237" i="3"/>
  <c r="M237" i="3" s="1"/>
  <c r="L238" i="3"/>
  <c r="M238" i="3" s="1"/>
  <c r="L239" i="3"/>
  <c r="M239" i="3" s="1"/>
  <c r="L240" i="3"/>
  <c r="M240" i="3" s="1"/>
  <c r="L241" i="3"/>
  <c r="M241" i="3" s="1"/>
  <c r="L242" i="3"/>
  <c r="M242" i="3" s="1"/>
  <c r="L243" i="3"/>
  <c r="M243" i="3" s="1"/>
  <c r="L244" i="3"/>
  <c r="M244" i="3" s="1"/>
  <c r="L245" i="3"/>
  <c r="M245" i="3" s="1"/>
  <c r="L246" i="3"/>
  <c r="M246" i="3" s="1"/>
  <c r="L247" i="3"/>
  <c r="M247" i="3" s="1"/>
  <c r="L248" i="3"/>
  <c r="M248" i="3" s="1"/>
  <c r="L249" i="3"/>
  <c r="M249" i="3" s="1"/>
  <c r="L250" i="3"/>
  <c r="M250" i="3" s="1"/>
  <c r="L251" i="3"/>
  <c r="M251" i="3" s="1"/>
  <c r="L252" i="3"/>
  <c r="M252" i="3" s="1"/>
  <c r="L253" i="3"/>
  <c r="M253" i="3" s="1"/>
  <c r="L254" i="3"/>
  <c r="M254" i="3" s="1"/>
  <c r="L255" i="3"/>
  <c r="M255" i="3" s="1"/>
  <c r="L256" i="3"/>
  <c r="M256" i="3" s="1"/>
  <c r="L257" i="3"/>
  <c r="M257" i="3" s="1"/>
  <c r="L258" i="3"/>
  <c r="M258" i="3" s="1"/>
  <c r="L259" i="3"/>
  <c r="M259" i="3" s="1"/>
  <c r="L260" i="3"/>
  <c r="M260" i="3" s="1"/>
  <c r="L261" i="3"/>
  <c r="M261" i="3" s="1"/>
  <c r="L262" i="3"/>
  <c r="M262" i="3" s="1"/>
  <c r="L263" i="3"/>
  <c r="M263" i="3" s="1"/>
  <c r="L264" i="3"/>
  <c r="M264" i="3" s="1"/>
  <c r="L265" i="3"/>
  <c r="M265" i="3" s="1"/>
  <c r="L266" i="3"/>
  <c r="M266" i="3" s="1"/>
  <c r="L267" i="3"/>
  <c r="M267" i="3" s="1"/>
  <c r="L268" i="3"/>
  <c r="M268" i="3" s="1"/>
  <c r="L269" i="3"/>
  <c r="M269" i="3" s="1"/>
  <c r="L270" i="3"/>
  <c r="M270" i="3" s="1"/>
  <c r="L271" i="3"/>
  <c r="M271" i="3" s="1"/>
  <c r="L272" i="3"/>
  <c r="M272" i="3" s="1"/>
  <c r="L273" i="3"/>
  <c r="M273" i="3" s="1"/>
  <c r="L274" i="3"/>
  <c r="M274" i="3" s="1"/>
  <c r="L275" i="3"/>
  <c r="M275" i="3" s="1"/>
  <c r="L276" i="3"/>
  <c r="M276" i="3" s="1"/>
  <c r="L278" i="3"/>
  <c r="M278" i="3" s="1"/>
  <c r="L282" i="3"/>
  <c r="M282" i="3" s="1"/>
  <c r="L283" i="3"/>
  <c r="M283" i="3" s="1"/>
  <c r="L284" i="3"/>
  <c r="M284" i="3" s="1"/>
  <c r="L285" i="3"/>
  <c r="M285" i="3" s="1"/>
  <c r="L286" i="3"/>
  <c r="M286" i="3" s="1"/>
  <c r="L287" i="3"/>
  <c r="M287" i="3" s="1"/>
  <c r="L288" i="3"/>
  <c r="M288" i="3" s="1"/>
  <c r="L289" i="3"/>
  <c r="M289" i="3" s="1"/>
  <c r="L290" i="3"/>
  <c r="M290" i="3" s="1"/>
  <c r="L291" i="3"/>
  <c r="M291" i="3" s="1"/>
  <c r="L292" i="3"/>
  <c r="M292" i="3" s="1"/>
  <c r="L293" i="3"/>
  <c r="M293" i="3" s="1"/>
  <c r="L294" i="3"/>
  <c r="M294" i="3" s="1"/>
  <c r="L295" i="3"/>
  <c r="M295" i="3" s="1"/>
  <c r="L296" i="3"/>
  <c r="M296" i="3" s="1"/>
  <c r="L297" i="3"/>
  <c r="M297" i="3" s="1"/>
  <c r="L298" i="3"/>
  <c r="M298" i="3" s="1"/>
  <c r="L299" i="3"/>
  <c r="M299" i="3" s="1"/>
  <c r="L300" i="3"/>
  <c r="M300" i="3" s="1"/>
  <c r="L301" i="3"/>
  <c r="M301" i="3" s="1"/>
  <c r="L302" i="3"/>
  <c r="M302" i="3" s="1"/>
  <c r="L303" i="3"/>
  <c r="M303" i="3" s="1"/>
  <c r="L304" i="3"/>
  <c r="M304" i="3" s="1"/>
  <c r="L305" i="3"/>
  <c r="M305" i="3" s="1"/>
  <c r="L306" i="3"/>
  <c r="M306" i="3" s="1"/>
  <c r="L307" i="3"/>
  <c r="M307" i="3" s="1"/>
  <c r="L308" i="3"/>
  <c r="M308" i="3" s="1"/>
  <c r="L309" i="3"/>
  <c r="M309" i="3" s="1"/>
  <c r="L310" i="3"/>
  <c r="M310" i="3" s="1"/>
  <c r="L311" i="3"/>
  <c r="M311" i="3" s="1"/>
  <c r="L312" i="3"/>
  <c r="M312" i="3" s="1"/>
  <c r="L313" i="3"/>
  <c r="M313" i="3" s="1"/>
  <c r="L314" i="3"/>
  <c r="M314" i="3" s="1"/>
  <c r="L315" i="3"/>
  <c r="M315" i="3" s="1"/>
  <c r="L316" i="3"/>
  <c r="M316" i="3" s="1"/>
  <c r="L317" i="3"/>
  <c r="M317" i="3" s="1"/>
  <c r="L318" i="3"/>
  <c r="M318" i="3" s="1"/>
  <c r="L319" i="3"/>
  <c r="M319" i="3" s="1"/>
  <c r="L320" i="3"/>
  <c r="M320" i="3" s="1"/>
  <c r="L321" i="3"/>
  <c r="M321" i="3" s="1"/>
  <c r="L322" i="3"/>
  <c r="M322" i="3" s="1"/>
  <c r="L323" i="3"/>
  <c r="M323" i="3" s="1"/>
  <c r="L324" i="3"/>
  <c r="M324" i="3" s="1"/>
  <c r="L325" i="3"/>
  <c r="M325" i="3" s="1"/>
  <c r="L326" i="3"/>
  <c r="M326" i="3" s="1"/>
  <c r="L327" i="3"/>
  <c r="M327" i="3" s="1"/>
  <c r="L328" i="3"/>
  <c r="M328" i="3" s="1"/>
  <c r="L329" i="3"/>
  <c r="M329" i="3" s="1"/>
  <c r="L330" i="3"/>
  <c r="M330" i="3" s="1"/>
  <c r="L331" i="3"/>
  <c r="M331" i="3" s="1"/>
  <c r="L332" i="3"/>
  <c r="M332" i="3" s="1"/>
  <c r="L333" i="3"/>
  <c r="M333" i="3" s="1"/>
  <c r="L334" i="3"/>
  <c r="M334" i="3" s="1"/>
  <c r="L335" i="3"/>
  <c r="M335" i="3" s="1"/>
  <c r="L336" i="3"/>
  <c r="M336" i="3" s="1"/>
  <c r="L337" i="3"/>
  <c r="M337" i="3" s="1"/>
  <c r="L338" i="3"/>
  <c r="M338" i="3" s="1"/>
  <c r="L339" i="3"/>
  <c r="M339" i="3" s="1"/>
  <c r="L340" i="3"/>
  <c r="M340" i="3" s="1"/>
  <c r="L341" i="3"/>
  <c r="M341" i="3" s="1"/>
  <c r="L342" i="3"/>
  <c r="M342" i="3" s="1"/>
  <c r="L343" i="3"/>
  <c r="M343" i="3" s="1"/>
  <c r="L344" i="3"/>
  <c r="M344" i="3" s="1"/>
  <c r="L345" i="3"/>
  <c r="M345" i="3" s="1"/>
  <c r="L346" i="3"/>
  <c r="M346" i="3" s="1"/>
  <c r="L347" i="3"/>
  <c r="M347" i="3" s="1"/>
  <c r="L348" i="3"/>
  <c r="M348" i="3" s="1"/>
  <c r="L349" i="3"/>
  <c r="M349" i="3" s="1"/>
  <c r="L350" i="3"/>
  <c r="M350" i="3" s="1"/>
  <c r="L351" i="3"/>
  <c r="M351" i="3" s="1"/>
  <c r="L352" i="3"/>
  <c r="M352" i="3" s="1"/>
  <c r="L353" i="3"/>
  <c r="M353" i="3" s="1"/>
  <c r="L354" i="3"/>
  <c r="M354" i="3" s="1"/>
  <c r="L355" i="3"/>
  <c r="M355" i="3" s="1"/>
  <c r="L356" i="3"/>
  <c r="M356" i="3" s="1"/>
  <c r="L357" i="3"/>
  <c r="M357" i="3" s="1"/>
  <c r="L358" i="3"/>
  <c r="M358" i="3" s="1"/>
  <c r="L359" i="3"/>
  <c r="M359" i="3" s="1"/>
  <c r="L360" i="3"/>
  <c r="M360" i="3" s="1"/>
  <c r="L361" i="3"/>
  <c r="M361" i="3" s="1"/>
  <c r="L362" i="3"/>
  <c r="M362" i="3" s="1"/>
  <c r="L363" i="3"/>
  <c r="M363" i="3" s="1"/>
  <c r="L364" i="3"/>
  <c r="M364" i="3" s="1"/>
  <c r="L365" i="3"/>
  <c r="M365" i="3" s="1"/>
  <c r="L366" i="3"/>
  <c r="M366" i="3" s="1"/>
  <c r="L367" i="3"/>
  <c r="M367" i="3" s="1"/>
  <c r="L368" i="3"/>
  <c r="M368" i="3" s="1"/>
  <c r="L369" i="3"/>
  <c r="M369" i="3" s="1"/>
  <c r="L370" i="3"/>
  <c r="M370" i="3" s="1"/>
  <c r="L371" i="3"/>
  <c r="M371" i="3" s="1"/>
  <c r="L372" i="3"/>
  <c r="M372" i="3" s="1"/>
  <c r="L373" i="3"/>
  <c r="M373" i="3" s="1"/>
  <c r="L374" i="3"/>
  <c r="M374" i="3" s="1"/>
  <c r="L375" i="3"/>
  <c r="M375" i="3" s="1"/>
  <c r="L376" i="3"/>
  <c r="M376" i="3" s="1"/>
  <c r="L377" i="3"/>
  <c r="M377" i="3" s="1"/>
  <c r="L378" i="3"/>
  <c r="M378" i="3" s="1"/>
  <c r="L379" i="3"/>
  <c r="M379" i="3" s="1"/>
  <c r="L380" i="3"/>
  <c r="M380" i="3" s="1"/>
  <c r="L381" i="3"/>
  <c r="M381" i="3" s="1"/>
  <c r="L382" i="3"/>
  <c r="M382" i="3" s="1"/>
  <c r="L383" i="3"/>
  <c r="M383" i="3" s="1"/>
  <c r="L384" i="3"/>
  <c r="M384" i="3" s="1"/>
  <c r="L385" i="3"/>
  <c r="M385" i="3" s="1"/>
  <c r="L386" i="3"/>
  <c r="M386" i="3" s="1"/>
  <c r="L387" i="3"/>
  <c r="M387" i="3" s="1"/>
  <c r="L388" i="3"/>
  <c r="M388" i="3" s="1"/>
  <c r="L389" i="3"/>
  <c r="M389" i="3" s="1"/>
  <c r="L390" i="3"/>
  <c r="M390" i="3" s="1"/>
  <c r="L391" i="3"/>
  <c r="M391" i="3" s="1"/>
  <c r="L392" i="3"/>
  <c r="M392" i="3" s="1"/>
  <c r="L393" i="3"/>
  <c r="M393" i="3" s="1"/>
  <c r="L394" i="3"/>
  <c r="M394" i="3" s="1"/>
  <c r="L395" i="3"/>
  <c r="M395" i="3" s="1"/>
  <c r="L396" i="3"/>
  <c r="M396" i="3" s="1"/>
  <c r="L397" i="3"/>
  <c r="M397" i="3" s="1"/>
  <c r="L398" i="3"/>
  <c r="M398" i="3" s="1"/>
  <c r="L399" i="3"/>
  <c r="M399" i="3" s="1"/>
  <c r="L400" i="3"/>
  <c r="M400" i="3" s="1"/>
  <c r="L401" i="3"/>
  <c r="M401" i="3" s="1"/>
  <c r="L402" i="3"/>
  <c r="M402" i="3" s="1"/>
  <c r="L403" i="3"/>
  <c r="M403" i="3" s="1"/>
  <c r="L404" i="3"/>
  <c r="M404" i="3" s="1"/>
  <c r="L405" i="3"/>
  <c r="M405" i="3" s="1"/>
  <c r="L406" i="3"/>
  <c r="M406" i="3" s="1"/>
  <c r="L407" i="3"/>
  <c r="M407" i="3" s="1"/>
  <c r="L408" i="3"/>
  <c r="M408" i="3" s="1"/>
  <c r="L409" i="3"/>
  <c r="M409" i="3" s="1"/>
  <c r="L410" i="3"/>
  <c r="M410" i="3" s="1"/>
  <c r="L411" i="3"/>
  <c r="M411" i="3" s="1"/>
  <c r="L412" i="3"/>
  <c r="M412" i="3" s="1"/>
  <c r="L413" i="3"/>
  <c r="M413" i="3" s="1"/>
  <c r="L414" i="3"/>
  <c r="M414" i="3" s="1"/>
  <c r="L415" i="3"/>
  <c r="M415" i="3" s="1"/>
  <c r="L416" i="3"/>
  <c r="M416" i="3" s="1"/>
  <c r="L417" i="3"/>
  <c r="M417" i="3" s="1"/>
  <c r="L418" i="3"/>
  <c r="M418" i="3" s="1"/>
  <c r="L419" i="3"/>
  <c r="M419" i="3" s="1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52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J9" i="3"/>
  <c r="K9" i="3" s="1"/>
  <c r="J10" i="3"/>
  <c r="K10" i="3" s="1"/>
  <c r="J11" i="3"/>
  <c r="K11" i="3" s="1"/>
  <c r="J12" i="3"/>
  <c r="K12" i="3" s="1"/>
  <c r="J13" i="3"/>
  <c r="K13" i="3" s="1"/>
  <c r="J14" i="3"/>
  <c r="K14" i="3" s="1"/>
  <c r="J15" i="3"/>
  <c r="K15" i="3" s="1"/>
  <c r="J16" i="3"/>
  <c r="K16" i="3" s="1"/>
  <c r="J17" i="3"/>
  <c r="K17" i="3" s="1"/>
  <c r="J18" i="3"/>
  <c r="K18" i="3" s="1"/>
  <c r="J19" i="3"/>
  <c r="K19" i="3" s="1"/>
  <c r="J20" i="3"/>
  <c r="K20" i="3" s="1"/>
  <c r="J21" i="3"/>
  <c r="K21" i="3" s="1"/>
  <c r="J22" i="3"/>
  <c r="K22" i="3" s="1"/>
  <c r="J23" i="3"/>
  <c r="K23" i="3" s="1"/>
  <c r="J24" i="3"/>
  <c r="K24" i="3" s="1"/>
  <c r="J25" i="3"/>
  <c r="K25" i="3" s="1"/>
  <c r="J26" i="3"/>
  <c r="K26" i="3" s="1"/>
  <c r="J27" i="3"/>
  <c r="K27" i="3" s="1"/>
  <c r="J28" i="3"/>
  <c r="K28" i="3" s="1"/>
  <c r="J29" i="3"/>
  <c r="K29" i="3" s="1"/>
  <c r="J30" i="3"/>
  <c r="K30" i="3" s="1"/>
  <c r="J31" i="3"/>
  <c r="K31" i="3" s="1"/>
  <c r="J32" i="3"/>
  <c r="K32" i="3" s="1"/>
  <c r="J33" i="3"/>
  <c r="K33" i="3" s="1"/>
  <c r="J34" i="3"/>
  <c r="K34" i="3" s="1"/>
  <c r="J35" i="3"/>
  <c r="K35" i="3" s="1"/>
  <c r="J36" i="3"/>
  <c r="K36" i="3" s="1"/>
  <c r="J37" i="3"/>
  <c r="K37" i="3" s="1"/>
  <c r="J38" i="3"/>
  <c r="K38" i="3" s="1"/>
  <c r="J39" i="3"/>
  <c r="K39" i="3" s="1"/>
  <c r="J40" i="3"/>
  <c r="K40" i="3" s="1"/>
  <c r="J41" i="3"/>
  <c r="K41" i="3" s="1"/>
  <c r="J42" i="3"/>
  <c r="K42" i="3" s="1"/>
  <c r="J43" i="3"/>
  <c r="K43" i="3" s="1"/>
  <c r="J44" i="3"/>
  <c r="K44" i="3" s="1"/>
  <c r="J45" i="3"/>
  <c r="K45" i="3" s="1"/>
  <c r="J46" i="3"/>
  <c r="K46" i="3" s="1"/>
  <c r="J47" i="3"/>
  <c r="K47" i="3" s="1"/>
  <c r="J48" i="3"/>
  <c r="K48" i="3" s="1"/>
  <c r="J49" i="3"/>
  <c r="K49" i="3" s="1"/>
  <c r="J50" i="3"/>
  <c r="K50" i="3" s="1"/>
  <c r="J51" i="3"/>
  <c r="K51" i="3" s="1"/>
  <c r="J52" i="3"/>
  <c r="K52" i="3" s="1"/>
  <c r="J53" i="3"/>
  <c r="K53" i="3" s="1"/>
  <c r="J54" i="3"/>
  <c r="K54" i="3" s="1"/>
  <c r="J55" i="3"/>
  <c r="K55" i="3" s="1"/>
  <c r="J56" i="3"/>
  <c r="K56" i="3" s="1"/>
  <c r="J57" i="3"/>
  <c r="K57" i="3" s="1"/>
  <c r="J58" i="3"/>
  <c r="K58" i="3" s="1"/>
  <c r="J59" i="3"/>
  <c r="K59" i="3" s="1"/>
  <c r="J60" i="3"/>
  <c r="K60" i="3" s="1"/>
  <c r="J61" i="3"/>
  <c r="K61" i="3" s="1"/>
  <c r="J62" i="3"/>
  <c r="K62" i="3" s="1"/>
  <c r="J63" i="3"/>
  <c r="K63" i="3" s="1"/>
  <c r="J64" i="3"/>
  <c r="K64" i="3" s="1"/>
  <c r="J65" i="3"/>
  <c r="K65" i="3" s="1"/>
  <c r="J90" i="3"/>
  <c r="K90" i="3" s="1"/>
  <c r="J91" i="3"/>
  <c r="K91" i="3" s="1"/>
  <c r="J92" i="3"/>
  <c r="K92" i="3" s="1"/>
  <c r="J93" i="3"/>
  <c r="K93" i="3" s="1"/>
  <c r="J94" i="3"/>
  <c r="K94" i="3" s="1"/>
  <c r="J95" i="3"/>
  <c r="K95" i="3" s="1"/>
  <c r="J96" i="3"/>
  <c r="K96" i="3" s="1"/>
  <c r="J97" i="3"/>
  <c r="K97" i="3" s="1"/>
  <c r="J98" i="3"/>
  <c r="K98" i="3" s="1"/>
  <c r="J99" i="3"/>
  <c r="K99" i="3" s="1"/>
  <c r="J100" i="3"/>
  <c r="K100" i="3" s="1"/>
  <c r="J101" i="3"/>
  <c r="K101" i="3" s="1"/>
  <c r="J102" i="3"/>
  <c r="K102" i="3" s="1"/>
  <c r="J103" i="3"/>
  <c r="K103" i="3" s="1"/>
  <c r="J104" i="3"/>
  <c r="K104" i="3" s="1"/>
  <c r="J105" i="3"/>
  <c r="K105" i="3" s="1"/>
  <c r="J106" i="3"/>
  <c r="K106" i="3" s="1"/>
  <c r="J107" i="3"/>
  <c r="K107" i="3" s="1"/>
  <c r="J108" i="3"/>
  <c r="K108" i="3" s="1"/>
  <c r="J109" i="3"/>
  <c r="K109" i="3" s="1"/>
  <c r="J110" i="3"/>
  <c r="K110" i="3" s="1"/>
  <c r="J111" i="3"/>
  <c r="K111" i="3" s="1"/>
  <c r="J112" i="3"/>
  <c r="K112" i="3" s="1"/>
  <c r="J113" i="3"/>
  <c r="K113" i="3" s="1"/>
  <c r="J114" i="3"/>
  <c r="K114" i="3" s="1"/>
  <c r="J115" i="3"/>
  <c r="K115" i="3" s="1"/>
  <c r="J116" i="3"/>
  <c r="K116" i="3" s="1"/>
  <c r="J117" i="3"/>
  <c r="K117" i="3" s="1"/>
  <c r="J118" i="3"/>
  <c r="K118" i="3" s="1"/>
  <c r="J119" i="3"/>
  <c r="K119" i="3" s="1"/>
  <c r="J120" i="3"/>
  <c r="K120" i="3" s="1"/>
  <c r="J121" i="3"/>
  <c r="K121" i="3" s="1"/>
  <c r="J122" i="3"/>
  <c r="K122" i="3" s="1"/>
  <c r="J123" i="3"/>
  <c r="K123" i="3" s="1"/>
  <c r="J124" i="3"/>
  <c r="K124" i="3" s="1"/>
  <c r="J125" i="3"/>
  <c r="K125" i="3" s="1"/>
  <c r="J126" i="3"/>
  <c r="K126" i="3" s="1"/>
  <c r="J127" i="3"/>
  <c r="K127" i="3" s="1"/>
  <c r="J128" i="3"/>
  <c r="K128" i="3" s="1"/>
  <c r="J129" i="3"/>
  <c r="K129" i="3" s="1"/>
  <c r="J130" i="3"/>
  <c r="K130" i="3" s="1"/>
  <c r="J131" i="3"/>
  <c r="K131" i="3" s="1"/>
  <c r="J132" i="3"/>
  <c r="K132" i="3" s="1"/>
  <c r="J133" i="3"/>
  <c r="K133" i="3" s="1"/>
  <c r="J134" i="3"/>
  <c r="K134" i="3" s="1"/>
  <c r="J135" i="3"/>
  <c r="K135" i="3" s="1"/>
  <c r="J136" i="3"/>
  <c r="K136" i="3" s="1"/>
  <c r="J137" i="3"/>
  <c r="K137" i="3" s="1"/>
  <c r="J138" i="3"/>
  <c r="K138" i="3" s="1"/>
  <c r="J139" i="3"/>
  <c r="K139" i="3" s="1"/>
  <c r="J140" i="3"/>
  <c r="K140" i="3" s="1"/>
  <c r="J141" i="3"/>
  <c r="K141" i="3" s="1"/>
  <c r="J142" i="3"/>
  <c r="K142" i="3" s="1"/>
  <c r="J143" i="3"/>
  <c r="K143" i="3" s="1"/>
  <c r="J144" i="3"/>
  <c r="K144" i="3" s="1"/>
  <c r="J145" i="3"/>
  <c r="K145" i="3" s="1"/>
  <c r="J146" i="3"/>
  <c r="K146" i="3" s="1"/>
  <c r="J147" i="3"/>
  <c r="K147" i="3" s="1"/>
  <c r="J148" i="3"/>
  <c r="K148" i="3" s="1"/>
  <c r="J149" i="3"/>
  <c r="K149" i="3" s="1"/>
  <c r="J150" i="3"/>
  <c r="K150" i="3" s="1"/>
  <c r="J151" i="3"/>
  <c r="K151" i="3" s="1"/>
  <c r="J152" i="3"/>
  <c r="K152" i="3" s="1"/>
  <c r="J153" i="3"/>
  <c r="K153" i="3" s="1"/>
  <c r="J154" i="3"/>
  <c r="K154" i="3" s="1"/>
  <c r="J155" i="3"/>
  <c r="K155" i="3" s="1"/>
  <c r="J156" i="3"/>
  <c r="K156" i="3" s="1"/>
  <c r="J157" i="3"/>
  <c r="K157" i="3" s="1"/>
  <c r="J158" i="3"/>
  <c r="K158" i="3" s="1"/>
  <c r="J159" i="3"/>
  <c r="K159" i="3" s="1"/>
  <c r="J160" i="3"/>
  <c r="K160" i="3" s="1"/>
  <c r="J161" i="3"/>
  <c r="K161" i="3" s="1"/>
  <c r="J162" i="3"/>
  <c r="K162" i="3" s="1"/>
  <c r="J163" i="3"/>
  <c r="K163" i="3" s="1"/>
  <c r="J164" i="3"/>
  <c r="K164" i="3" s="1"/>
  <c r="J165" i="3"/>
  <c r="K165" i="3" s="1"/>
  <c r="J166" i="3"/>
  <c r="K166" i="3" s="1"/>
  <c r="J167" i="3"/>
  <c r="K167" i="3" s="1"/>
  <c r="J168" i="3"/>
  <c r="K168" i="3" s="1"/>
  <c r="J169" i="3"/>
  <c r="K169" i="3" s="1"/>
  <c r="J170" i="3"/>
  <c r="K170" i="3" s="1"/>
  <c r="J171" i="3"/>
  <c r="K171" i="3" s="1"/>
  <c r="J172" i="3"/>
  <c r="K172" i="3" s="1"/>
  <c r="J173" i="3"/>
  <c r="K173" i="3" s="1"/>
  <c r="J174" i="3"/>
  <c r="K174" i="3" s="1"/>
  <c r="J175" i="3"/>
  <c r="K175" i="3" s="1"/>
  <c r="J176" i="3"/>
  <c r="K176" i="3" s="1"/>
  <c r="J177" i="3"/>
  <c r="K177" i="3" s="1"/>
  <c r="J178" i="3"/>
  <c r="K178" i="3" s="1"/>
  <c r="J179" i="3"/>
  <c r="K179" i="3" s="1"/>
  <c r="J180" i="3"/>
  <c r="K180" i="3" s="1"/>
  <c r="J181" i="3"/>
  <c r="K181" i="3" s="1"/>
  <c r="J182" i="3"/>
  <c r="K182" i="3" s="1"/>
  <c r="J183" i="3"/>
  <c r="K183" i="3" s="1"/>
  <c r="J334" i="3"/>
  <c r="K334" i="3" s="1"/>
  <c r="J335" i="3"/>
  <c r="K335" i="3" s="1"/>
  <c r="J336" i="3"/>
  <c r="K336" i="3" s="1"/>
  <c r="J337" i="3"/>
  <c r="K337" i="3" s="1"/>
  <c r="J338" i="3"/>
  <c r="K338" i="3" s="1"/>
  <c r="J339" i="3"/>
  <c r="K339" i="3" s="1"/>
  <c r="J340" i="3"/>
  <c r="K340" i="3" s="1"/>
  <c r="J341" i="3"/>
  <c r="K341" i="3" s="1"/>
  <c r="J342" i="3"/>
  <c r="K342" i="3" s="1"/>
  <c r="J343" i="3"/>
  <c r="K343" i="3" s="1"/>
  <c r="J344" i="3"/>
  <c r="K344" i="3" s="1"/>
  <c r="J345" i="3"/>
  <c r="K345" i="3" s="1"/>
  <c r="J346" i="3"/>
  <c r="K346" i="3" s="1"/>
  <c r="J347" i="3"/>
  <c r="K347" i="3" s="1"/>
  <c r="J348" i="3"/>
  <c r="K348" i="3" s="1"/>
  <c r="J349" i="3"/>
  <c r="K349" i="3" s="1"/>
  <c r="J350" i="3"/>
  <c r="K350" i="3" s="1"/>
  <c r="J351" i="3"/>
  <c r="K351" i="3" s="1"/>
  <c r="J353" i="3"/>
  <c r="K353" i="3" s="1"/>
  <c r="J354" i="3"/>
  <c r="K354" i="3" s="1"/>
  <c r="J355" i="3"/>
  <c r="K355" i="3" s="1"/>
  <c r="J356" i="3"/>
  <c r="K356" i="3" s="1"/>
  <c r="J357" i="3"/>
  <c r="K357" i="3" s="1"/>
  <c r="J371" i="3"/>
  <c r="K371" i="3" s="1"/>
  <c r="J372" i="3"/>
  <c r="K372" i="3" s="1"/>
  <c r="J373" i="3"/>
  <c r="K373" i="3" s="1"/>
  <c r="Q2" i="4"/>
  <c r="Q6" i="4"/>
  <c r="Q10" i="4"/>
  <c r="Q14" i="4"/>
  <c r="Q18" i="4"/>
  <c r="Q22" i="4"/>
  <c r="Q27" i="4"/>
  <c r="Q31" i="4"/>
  <c r="Q35" i="4"/>
  <c r="Q39" i="4"/>
  <c r="Q43" i="4"/>
  <c r="Q47" i="4"/>
  <c r="Q51" i="4"/>
  <c r="Q55" i="4"/>
  <c r="Q59" i="4"/>
  <c r="Q63" i="4"/>
  <c r="Q67" i="4"/>
  <c r="Q71" i="4"/>
  <c r="Q75" i="4"/>
  <c r="Q79" i="4"/>
  <c r="Q83" i="4"/>
  <c r="Q87" i="4"/>
  <c r="P2" i="4"/>
  <c r="P3" i="4"/>
  <c r="Q3" i="4" s="1"/>
  <c r="P4" i="4"/>
  <c r="Q4" i="4" s="1"/>
  <c r="P5" i="4"/>
  <c r="Q5" i="4" s="1"/>
  <c r="P6" i="4"/>
  <c r="P7" i="4"/>
  <c r="Q7" i="4" s="1"/>
  <c r="P8" i="4"/>
  <c r="Q8" i="4" s="1"/>
  <c r="P9" i="4"/>
  <c r="Q9" i="4" s="1"/>
  <c r="P10" i="4"/>
  <c r="P11" i="4"/>
  <c r="Q11" i="4" s="1"/>
  <c r="P12" i="4"/>
  <c r="Q12" i="4" s="1"/>
  <c r="P13" i="4"/>
  <c r="Q13" i="4" s="1"/>
  <c r="P14" i="4"/>
  <c r="P15" i="4"/>
  <c r="Q15" i="4" s="1"/>
  <c r="P16" i="4"/>
  <c r="Q16" i="4" s="1"/>
  <c r="P17" i="4"/>
  <c r="Q17" i="4" s="1"/>
  <c r="P18" i="4"/>
  <c r="P19" i="4"/>
  <c r="Q19" i="4" s="1"/>
  <c r="P20" i="4"/>
  <c r="Q20" i="4" s="1"/>
  <c r="P21" i="4"/>
  <c r="Q21" i="4" s="1"/>
  <c r="P22" i="4"/>
  <c r="P23" i="4"/>
  <c r="Q23" i="4" s="1"/>
  <c r="P24" i="4"/>
  <c r="Q24" i="4" s="1"/>
  <c r="P26" i="4"/>
  <c r="Q26" i="4" s="1"/>
  <c r="P27" i="4"/>
  <c r="P28" i="4"/>
  <c r="Q28" i="4" s="1"/>
  <c r="P29" i="4"/>
  <c r="Q29" i="4" s="1"/>
  <c r="P30" i="4"/>
  <c r="Q30" i="4" s="1"/>
  <c r="P31" i="4"/>
  <c r="P32" i="4"/>
  <c r="Q32" i="4" s="1"/>
  <c r="P33" i="4"/>
  <c r="Q33" i="4" s="1"/>
  <c r="P34" i="4"/>
  <c r="Q34" i="4" s="1"/>
  <c r="P35" i="4"/>
  <c r="P36" i="4"/>
  <c r="Q36" i="4" s="1"/>
  <c r="P37" i="4"/>
  <c r="Q37" i="4" s="1"/>
  <c r="P38" i="4"/>
  <c r="Q38" i="4" s="1"/>
  <c r="P39" i="4"/>
  <c r="P40" i="4"/>
  <c r="Q40" i="4" s="1"/>
  <c r="P41" i="4"/>
  <c r="Q41" i="4" s="1"/>
  <c r="P42" i="4"/>
  <c r="Q42" i="4" s="1"/>
  <c r="P43" i="4"/>
  <c r="P44" i="4"/>
  <c r="Q44" i="4" s="1"/>
  <c r="P45" i="4"/>
  <c r="Q45" i="4" s="1"/>
  <c r="P46" i="4"/>
  <c r="Q46" i="4" s="1"/>
  <c r="P47" i="4"/>
  <c r="P48" i="4"/>
  <c r="Q48" i="4" s="1"/>
  <c r="P49" i="4"/>
  <c r="Q49" i="4" s="1"/>
  <c r="P50" i="4"/>
  <c r="Q50" i="4" s="1"/>
  <c r="P51" i="4"/>
  <c r="P52" i="4"/>
  <c r="Q52" i="4" s="1"/>
  <c r="P53" i="4"/>
  <c r="Q53" i="4" s="1"/>
  <c r="P54" i="4"/>
  <c r="Q54" i="4" s="1"/>
  <c r="P55" i="4"/>
  <c r="P56" i="4"/>
  <c r="Q56" i="4" s="1"/>
  <c r="P57" i="4"/>
  <c r="Q57" i="4" s="1"/>
  <c r="P58" i="4"/>
  <c r="Q58" i="4" s="1"/>
  <c r="P59" i="4"/>
  <c r="P60" i="4"/>
  <c r="Q60" i="4" s="1"/>
  <c r="P61" i="4"/>
  <c r="Q61" i="4" s="1"/>
  <c r="P62" i="4"/>
  <c r="Q62" i="4" s="1"/>
  <c r="P63" i="4"/>
  <c r="P64" i="4"/>
  <c r="Q64" i="4" s="1"/>
  <c r="P65" i="4"/>
  <c r="Q65" i="4" s="1"/>
  <c r="P66" i="4"/>
  <c r="Q66" i="4" s="1"/>
  <c r="P67" i="4"/>
  <c r="P68" i="4"/>
  <c r="Q68" i="4" s="1"/>
  <c r="P69" i="4"/>
  <c r="Q69" i="4" s="1"/>
  <c r="P70" i="4"/>
  <c r="Q70" i="4" s="1"/>
  <c r="P71" i="4"/>
  <c r="P72" i="4"/>
  <c r="Q72" i="4" s="1"/>
  <c r="P73" i="4"/>
  <c r="Q73" i="4" s="1"/>
  <c r="P74" i="4"/>
  <c r="Q74" i="4" s="1"/>
  <c r="P75" i="4"/>
  <c r="P76" i="4"/>
  <c r="Q76" i="4" s="1"/>
  <c r="P77" i="4"/>
  <c r="Q77" i="4" s="1"/>
  <c r="P78" i="4"/>
  <c r="Q78" i="4" s="1"/>
  <c r="P79" i="4"/>
  <c r="P80" i="4"/>
  <c r="Q80" i="4" s="1"/>
  <c r="P81" i="4"/>
  <c r="Q81" i="4" s="1"/>
  <c r="P82" i="4"/>
  <c r="Q82" i="4" s="1"/>
  <c r="P83" i="4"/>
  <c r="P84" i="4"/>
  <c r="Q84" i="4" s="1"/>
  <c r="P85" i="4"/>
  <c r="Q85" i="4" s="1"/>
  <c r="P86" i="4"/>
  <c r="Q86" i="4" s="1"/>
  <c r="P87" i="4"/>
  <c r="P88" i="4"/>
  <c r="Q88" i="4" s="1"/>
  <c r="O4" i="4"/>
  <c r="O8" i="4"/>
  <c r="O12" i="4"/>
  <c r="O16" i="4"/>
  <c r="O20" i="4"/>
  <c r="O24" i="4"/>
  <c r="O29" i="4"/>
  <c r="O33" i="4"/>
  <c r="O37" i="4"/>
  <c r="O41" i="4"/>
  <c r="O45" i="4"/>
  <c r="O49" i="4"/>
  <c r="O53" i="4"/>
  <c r="O57" i="4"/>
  <c r="O61" i="4"/>
  <c r="O65" i="4"/>
  <c r="O69" i="4"/>
  <c r="O73" i="4"/>
  <c r="O77" i="4"/>
  <c r="O81" i="4"/>
  <c r="O85" i="4"/>
  <c r="N2" i="4"/>
  <c r="O2" i="4" s="1"/>
  <c r="N3" i="4"/>
  <c r="O3" i="4" s="1"/>
  <c r="N4" i="4"/>
  <c r="N5" i="4"/>
  <c r="O5" i="4" s="1"/>
  <c r="N6" i="4"/>
  <c r="O6" i="4" s="1"/>
  <c r="N7" i="4"/>
  <c r="O7" i="4" s="1"/>
  <c r="N8" i="4"/>
  <c r="N9" i="4"/>
  <c r="O9" i="4" s="1"/>
  <c r="N10" i="4"/>
  <c r="O10" i="4" s="1"/>
  <c r="N11" i="4"/>
  <c r="O11" i="4" s="1"/>
  <c r="N12" i="4"/>
  <c r="N13" i="4"/>
  <c r="O13" i="4" s="1"/>
  <c r="N14" i="4"/>
  <c r="O14" i="4" s="1"/>
  <c r="N15" i="4"/>
  <c r="O15" i="4" s="1"/>
  <c r="N16" i="4"/>
  <c r="N17" i="4"/>
  <c r="O17" i="4" s="1"/>
  <c r="N18" i="4"/>
  <c r="O18" i="4" s="1"/>
  <c r="N19" i="4"/>
  <c r="O19" i="4" s="1"/>
  <c r="N20" i="4"/>
  <c r="N21" i="4"/>
  <c r="O21" i="4" s="1"/>
  <c r="N22" i="4"/>
  <c r="O22" i="4" s="1"/>
  <c r="N23" i="4"/>
  <c r="O23" i="4" s="1"/>
  <c r="N24" i="4"/>
  <c r="N26" i="4"/>
  <c r="O26" i="4" s="1"/>
  <c r="N27" i="4"/>
  <c r="O27" i="4" s="1"/>
  <c r="N28" i="4"/>
  <c r="O28" i="4" s="1"/>
  <c r="N29" i="4"/>
  <c r="N30" i="4"/>
  <c r="O30" i="4" s="1"/>
  <c r="N31" i="4"/>
  <c r="O31" i="4" s="1"/>
  <c r="N32" i="4"/>
  <c r="O32" i="4" s="1"/>
  <c r="N33" i="4"/>
  <c r="N34" i="4"/>
  <c r="O34" i="4" s="1"/>
  <c r="N35" i="4"/>
  <c r="O35" i="4" s="1"/>
  <c r="N36" i="4"/>
  <c r="O36" i="4" s="1"/>
  <c r="N37" i="4"/>
  <c r="N38" i="4"/>
  <c r="O38" i="4" s="1"/>
  <c r="N39" i="4"/>
  <c r="O39" i="4" s="1"/>
  <c r="N40" i="4"/>
  <c r="O40" i="4" s="1"/>
  <c r="N41" i="4"/>
  <c r="N42" i="4"/>
  <c r="O42" i="4" s="1"/>
  <c r="N43" i="4"/>
  <c r="O43" i="4" s="1"/>
  <c r="N44" i="4"/>
  <c r="O44" i="4" s="1"/>
  <c r="N45" i="4"/>
  <c r="N46" i="4"/>
  <c r="O46" i="4" s="1"/>
  <c r="N47" i="4"/>
  <c r="O47" i="4" s="1"/>
  <c r="N48" i="4"/>
  <c r="O48" i="4" s="1"/>
  <c r="N49" i="4"/>
  <c r="N50" i="4"/>
  <c r="O50" i="4" s="1"/>
  <c r="N51" i="4"/>
  <c r="O51" i="4" s="1"/>
  <c r="N52" i="4"/>
  <c r="O52" i="4" s="1"/>
  <c r="N53" i="4"/>
  <c r="N54" i="4"/>
  <c r="O54" i="4" s="1"/>
  <c r="N55" i="4"/>
  <c r="O55" i="4" s="1"/>
  <c r="N56" i="4"/>
  <c r="O56" i="4" s="1"/>
  <c r="N57" i="4"/>
  <c r="N58" i="4"/>
  <c r="O58" i="4" s="1"/>
  <c r="N59" i="4"/>
  <c r="O59" i="4" s="1"/>
  <c r="N60" i="4"/>
  <c r="O60" i="4" s="1"/>
  <c r="N61" i="4"/>
  <c r="N62" i="4"/>
  <c r="O62" i="4" s="1"/>
  <c r="N63" i="4"/>
  <c r="O63" i="4" s="1"/>
  <c r="N64" i="4"/>
  <c r="O64" i="4" s="1"/>
  <c r="N65" i="4"/>
  <c r="N66" i="4"/>
  <c r="O66" i="4" s="1"/>
  <c r="N67" i="4"/>
  <c r="O67" i="4" s="1"/>
  <c r="N68" i="4"/>
  <c r="O68" i="4" s="1"/>
  <c r="N69" i="4"/>
  <c r="N70" i="4"/>
  <c r="O70" i="4" s="1"/>
  <c r="N71" i="4"/>
  <c r="O71" i="4" s="1"/>
  <c r="N72" i="4"/>
  <c r="O72" i="4" s="1"/>
  <c r="N73" i="4"/>
  <c r="N74" i="4"/>
  <c r="O74" i="4" s="1"/>
  <c r="N75" i="4"/>
  <c r="O75" i="4" s="1"/>
  <c r="N76" i="4"/>
  <c r="O76" i="4" s="1"/>
  <c r="N77" i="4"/>
  <c r="N78" i="4"/>
  <c r="O78" i="4" s="1"/>
  <c r="N79" i="4"/>
  <c r="O79" i="4" s="1"/>
  <c r="N80" i="4"/>
  <c r="O80" i="4" s="1"/>
  <c r="N81" i="4"/>
  <c r="N82" i="4"/>
  <c r="O82" i="4" s="1"/>
  <c r="N83" i="4"/>
  <c r="O83" i="4" s="1"/>
  <c r="N84" i="4"/>
  <c r="O84" i="4" s="1"/>
  <c r="N85" i="4"/>
  <c r="N86" i="4"/>
  <c r="O86" i="4" s="1"/>
  <c r="N87" i="4"/>
  <c r="O87" i="4" s="1"/>
  <c r="N88" i="4"/>
  <c r="O88" i="4" s="1"/>
  <c r="M86" i="4"/>
  <c r="L2" i="4"/>
  <c r="M2" i="4" s="1"/>
  <c r="L3" i="4"/>
  <c r="M3" i="4" s="1"/>
  <c r="L4" i="4"/>
  <c r="M4" i="4" s="1"/>
  <c r="L5" i="4"/>
  <c r="M5" i="4" s="1"/>
  <c r="L6" i="4"/>
  <c r="M6" i="4" s="1"/>
  <c r="L7" i="4"/>
  <c r="M7" i="4" s="1"/>
  <c r="L8" i="4"/>
  <c r="M8" i="4" s="1"/>
  <c r="L9" i="4"/>
  <c r="M9" i="4" s="1"/>
  <c r="L10" i="4"/>
  <c r="M10" i="4" s="1"/>
  <c r="L11" i="4"/>
  <c r="M11" i="4" s="1"/>
  <c r="L12" i="4"/>
  <c r="M12" i="4" s="1"/>
  <c r="L13" i="4"/>
  <c r="M13" i="4" s="1"/>
  <c r="L14" i="4"/>
  <c r="M14" i="4" s="1"/>
  <c r="L15" i="4"/>
  <c r="M15" i="4" s="1"/>
  <c r="L16" i="4"/>
  <c r="M16" i="4" s="1"/>
  <c r="L17" i="4"/>
  <c r="M17" i="4" s="1"/>
  <c r="L18" i="4"/>
  <c r="M18" i="4" s="1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6" i="4"/>
  <c r="M26" i="4" s="1"/>
  <c r="L27" i="4"/>
  <c r="M27" i="4" s="1"/>
  <c r="L28" i="4"/>
  <c r="M28" i="4" s="1"/>
  <c r="L29" i="4"/>
  <c r="M29" i="4" s="1"/>
  <c r="L30" i="4"/>
  <c r="M30" i="4" s="1"/>
  <c r="L31" i="4"/>
  <c r="M31" i="4" s="1"/>
  <c r="L32" i="4"/>
  <c r="M32" i="4" s="1"/>
  <c r="L33" i="4"/>
  <c r="M33" i="4" s="1"/>
  <c r="L34" i="4"/>
  <c r="M34" i="4" s="1"/>
  <c r="L35" i="4"/>
  <c r="M35" i="4" s="1"/>
  <c r="L36" i="4"/>
  <c r="M36" i="4" s="1"/>
  <c r="L37" i="4"/>
  <c r="M37" i="4" s="1"/>
  <c r="L38" i="4"/>
  <c r="M38" i="4" s="1"/>
  <c r="L39" i="4"/>
  <c r="M39" i="4" s="1"/>
  <c r="L40" i="4"/>
  <c r="M40" i="4" s="1"/>
  <c r="L41" i="4"/>
  <c r="M41" i="4" s="1"/>
  <c r="L42" i="4"/>
  <c r="M42" i="4" s="1"/>
  <c r="L43" i="4"/>
  <c r="M43" i="4" s="1"/>
  <c r="L44" i="4"/>
  <c r="M44" i="4" s="1"/>
  <c r="L45" i="4"/>
  <c r="M45" i="4" s="1"/>
  <c r="L46" i="4"/>
  <c r="M46" i="4" s="1"/>
  <c r="L47" i="4"/>
  <c r="M47" i="4" s="1"/>
  <c r="L48" i="4"/>
  <c r="M48" i="4" s="1"/>
  <c r="L49" i="4"/>
  <c r="M49" i="4" s="1"/>
  <c r="L50" i="4"/>
  <c r="M50" i="4" s="1"/>
  <c r="L51" i="4"/>
  <c r="M51" i="4" s="1"/>
  <c r="L52" i="4"/>
  <c r="M52" i="4" s="1"/>
  <c r="L53" i="4"/>
  <c r="M53" i="4" s="1"/>
  <c r="L54" i="4"/>
  <c r="M54" i="4" s="1"/>
  <c r="L55" i="4"/>
  <c r="M55" i="4" s="1"/>
  <c r="L56" i="4"/>
  <c r="M56" i="4" s="1"/>
  <c r="L57" i="4"/>
  <c r="M57" i="4" s="1"/>
  <c r="L58" i="4"/>
  <c r="M58" i="4" s="1"/>
  <c r="L59" i="4"/>
  <c r="M59" i="4" s="1"/>
  <c r="L60" i="4"/>
  <c r="M60" i="4" s="1"/>
  <c r="L61" i="4"/>
  <c r="M61" i="4" s="1"/>
  <c r="L62" i="4"/>
  <c r="M62" i="4" s="1"/>
  <c r="L63" i="4"/>
  <c r="M63" i="4" s="1"/>
  <c r="L64" i="4"/>
  <c r="M64" i="4" s="1"/>
  <c r="L65" i="4"/>
  <c r="M65" i="4" s="1"/>
  <c r="L66" i="4"/>
  <c r="M66" i="4" s="1"/>
  <c r="L67" i="4"/>
  <c r="M67" i="4" s="1"/>
  <c r="L68" i="4"/>
  <c r="M68" i="4" s="1"/>
  <c r="L69" i="4"/>
  <c r="M69" i="4" s="1"/>
  <c r="L70" i="4"/>
  <c r="M70" i="4" s="1"/>
  <c r="L71" i="4"/>
  <c r="M71" i="4" s="1"/>
  <c r="L72" i="4"/>
  <c r="M72" i="4" s="1"/>
  <c r="L73" i="4"/>
  <c r="M73" i="4" s="1"/>
  <c r="L74" i="4"/>
  <c r="M74" i="4" s="1"/>
  <c r="L75" i="4"/>
  <c r="M75" i="4" s="1"/>
  <c r="L76" i="4"/>
  <c r="M76" i="4" s="1"/>
  <c r="L77" i="4"/>
  <c r="M77" i="4" s="1"/>
  <c r="L78" i="4"/>
  <c r="M78" i="4" s="1"/>
  <c r="L79" i="4"/>
  <c r="M79" i="4" s="1"/>
  <c r="L80" i="4"/>
  <c r="M80" i="4" s="1"/>
  <c r="L81" i="4"/>
  <c r="M81" i="4" s="1"/>
  <c r="L82" i="4"/>
  <c r="M82" i="4" s="1"/>
  <c r="L83" i="4"/>
  <c r="M83" i="4" s="1"/>
  <c r="L84" i="4"/>
  <c r="M84" i="4" s="1"/>
  <c r="L85" i="4"/>
  <c r="M85" i="4" s="1"/>
  <c r="L86" i="4"/>
  <c r="L87" i="4"/>
  <c r="M87" i="4" s="1"/>
  <c r="L88" i="4"/>
  <c r="M88" i="4" s="1"/>
  <c r="J2" i="4"/>
  <c r="K2" i="4" s="1"/>
  <c r="J3" i="4"/>
  <c r="K3" i="4" s="1"/>
  <c r="J4" i="4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K69" i="4" s="1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I88" i="4" l="1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5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9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8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H277" i="3" l="1"/>
  <c r="H71" i="3"/>
  <c r="H70" i="3"/>
  <c r="H214" i="3"/>
  <c r="H213" i="3"/>
  <c r="H281" i="3"/>
  <c r="H280" i="3"/>
  <c r="H279" i="3"/>
  <c r="H68" i="3"/>
  <c r="H67" i="3"/>
  <c r="H66" i="3"/>
  <c r="H4" i="3"/>
  <c r="J4" i="3" s="1"/>
  <c r="K4" i="3" s="1"/>
  <c r="H3" i="3"/>
  <c r="J3" i="3" s="1"/>
  <c r="K3" i="3" s="1"/>
  <c r="H2" i="3"/>
  <c r="J2" i="3" s="1"/>
  <c r="K2" i="3" s="1"/>
  <c r="I71" i="3" l="1"/>
  <c r="P71" i="3"/>
  <c r="Q71" i="3" s="1"/>
  <c r="N71" i="3"/>
  <c r="O71" i="3" s="1"/>
  <c r="L71" i="3"/>
  <c r="M71" i="3" s="1"/>
  <c r="I2" i="3"/>
  <c r="P2" i="3"/>
  <c r="Q2" i="3" s="1"/>
  <c r="N2" i="3"/>
  <c r="O2" i="3" s="1"/>
  <c r="L2" i="3"/>
  <c r="M2" i="3" s="1"/>
  <c r="I4" i="3"/>
  <c r="P4" i="3"/>
  <c r="Q4" i="3" s="1"/>
  <c r="N4" i="3"/>
  <c r="O4" i="3" s="1"/>
  <c r="L4" i="3"/>
  <c r="M4" i="3" s="1"/>
  <c r="I67" i="3"/>
  <c r="P67" i="3"/>
  <c r="Q67" i="3" s="1"/>
  <c r="N67" i="3"/>
  <c r="O67" i="3" s="1"/>
  <c r="L67" i="3"/>
  <c r="M67" i="3" s="1"/>
  <c r="I279" i="3"/>
  <c r="P279" i="3"/>
  <c r="Q279" i="3" s="1"/>
  <c r="N279" i="3"/>
  <c r="O279" i="3" s="1"/>
  <c r="L279" i="3"/>
  <c r="M279" i="3" s="1"/>
  <c r="I281" i="3"/>
  <c r="P281" i="3"/>
  <c r="Q281" i="3" s="1"/>
  <c r="N281" i="3"/>
  <c r="O281" i="3" s="1"/>
  <c r="L281" i="3"/>
  <c r="M281" i="3" s="1"/>
  <c r="I214" i="3"/>
  <c r="P214" i="3"/>
  <c r="Q214" i="3" s="1"/>
  <c r="N214" i="3"/>
  <c r="O214" i="3" s="1"/>
  <c r="L214" i="3"/>
  <c r="M214" i="3" s="1"/>
  <c r="I3" i="3"/>
  <c r="P3" i="3"/>
  <c r="Q3" i="3" s="1"/>
  <c r="N3" i="3"/>
  <c r="O3" i="3" s="1"/>
  <c r="L3" i="3"/>
  <c r="M3" i="3" s="1"/>
  <c r="I66" i="3"/>
  <c r="P66" i="3"/>
  <c r="Q66" i="3" s="1"/>
  <c r="N66" i="3"/>
  <c r="O66" i="3" s="1"/>
  <c r="L66" i="3"/>
  <c r="M66" i="3" s="1"/>
  <c r="I68" i="3"/>
  <c r="P68" i="3"/>
  <c r="Q68" i="3" s="1"/>
  <c r="N68" i="3"/>
  <c r="O68" i="3" s="1"/>
  <c r="L68" i="3"/>
  <c r="M68" i="3" s="1"/>
  <c r="I280" i="3"/>
  <c r="P280" i="3"/>
  <c r="Q280" i="3" s="1"/>
  <c r="N280" i="3"/>
  <c r="O280" i="3" s="1"/>
  <c r="L280" i="3"/>
  <c r="M280" i="3" s="1"/>
  <c r="I213" i="3"/>
  <c r="P213" i="3"/>
  <c r="Q213" i="3" s="1"/>
  <c r="N213" i="3"/>
  <c r="O213" i="3" s="1"/>
  <c r="L213" i="3"/>
  <c r="M213" i="3" s="1"/>
  <c r="I70" i="3"/>
  <c r="P70" i="3"/>
  <c r="Q70" i="3" s="1"/>
  <c r="N70" i="3"/>
  <c r="O70" i="3" s="1"/>
  <c r="L70" i="3"/>
  <c r="M70" i="3" s="1"/>
  <c r="I277" i="3"/>
  <c r="P277" i="3"/>
  <c r="Q277" i="3" s="1"/>
  <c r="N277" i="3"/>
  <c r="O277" i="3" s="1"/>
  <c r="L277" i="3"/>
  <c r="M277" i="3" s="1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F353" i="3"/>
  <c r="F372" i="3"/>
  <c r="F371" i="3"/>
  <c r="F354" i="3"/>
  <c r="F352" i="3"/>
  <c r="F373" i="3"/>
  <c r="F208" i="3"/>
  <c r="F3" i="3"/>
  <c r="F4" i="3"/>
  <c r="F66" i="3"/>
  <c r="F67" i="3"/>
  <c r="F68" i="3"/>
  <c r="F281" i="3"/>
  <c r="F213" i="3"/>
  <c r="F214" i="3"/>
  <c r="F212" i="3"/>
  <c r="F70" i="3"/>
  <c r="F71" i="3"/>
  <c r="F69" i="3"/>
  <c r="F278" i="3"/>
  <c r="F211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1" i="3"/>
  <c r="F22" i="3"/>
  <c r="F23" i="3"/>
  <c r="F24" i="3"/>
  <c r="F25" i="3"/>
  <c r="F26" i="3"/>
  <c r="F27" i="3"/>
  <c r="F28" i="3"/>
  <c r="F29" i="3"/>
  <c r="F30" i="3"/>
  <c r="F31" i="3"/>
  <c r="F20" i="3"/>
  <c r="F339" i="3"/>
  <c r="F341" i="3"/>
  <c r="F132" i="3"/>
  <c r="F133" i="3"/>
  <c r="F134" i="3"/>
  <c r="F136" i="3"/>
  <c r="F137" i="3"/>
  <c r="F138" i="3"/>
  <c r="F139" i="3"/>
  <c r="F140" i="3"/>
  <c r="F141" i="3"/>
  <c r="F142" i="3"/>
  <c r="F143" i="3"/>
  <c r="F144" i="3"/>
  <c r="F145" i="3"/>
  <c r="F335" i="3"/>
  <c r="F32" i="3"/>
  <c r="F164" i="3"/>
  <c r="F165" i="3"/>
  <c r="F166" i="3"/>
  <c r="F167" i="3"/>
  <c r="F168" i="3"/>
  <c r="F169" i="3"/>
  <c r="F170" i="3"/>
  <c r="F171" i="3"/>
  <c r="F172" i="3"/>
  <c r="F338" i="3"/>
  <c r="F336" i="3"/>
  <c r="F146" i="3"/>
  <c r="F147" i="3"/>
  <c r="F148" i="3"/>
  <c r="F149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337" i="3"/>
  <c r="F340" i="3"/>
  <c r="F173" i="3"/>
  <c r="F174" i="3"/>
  <c r="F175" i="3"/>
  <c r="F176" i="3"/>
  <c r="F177" i="3"/>
  <c r="F178" i="3"/>
  <c r="F179" i="3"/>
  <c r="F180" i="3"/>
  <c r="F33" i="3"/>
  <c r="F34" i="3"/>
  <c r="F35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342" i="3"/>
  <c r="F343" i="3"/>
  <c r="F344" i="3"/>
  <c r="F181" i="3"/>
  <c r="F182" i="3"/>
  <c r="F88" i="3"/>
  <c r="F90" i="3"/>
  <c r="F91" i="3"/>
  <c r="F92" i="3"/>
  <c r="F93" i="3"/>
  <c r="F94" i="3"/>
  <c r="F95" i="3"/>
  <c r="F96" i="3"/>
  <c r="F97" i="3"/>
  <c r="F98" i="3"/>
  <c r="F99" i="3"/>
  <c r="F334" i="3"/>
  <c r="F118" i="3"/>
  <c r="F119" i="3"/>
  <c r="F120" i="3"/>
  <c r="F121" i="3"/>
  <c r="F122" i="3"/>
  <c r="F123" i="3"/>
  <c r="F345" i="3"/>
  <c r="F346" i="3"/>
  <c r="F347" i="3"/>
  <c r="F183" i="3"/>
  <c r="F100" i="3"/>
  <c r="F101" i="3"/>
  <c r="F102" i="3"/>
  <c r="F103" i="3"/>
  <c r="F104" i="3"/>
  <c r="F105" i="3"/>
  <c r="F106" i="3"/>
  <c r="F107" i="3"/>
  <c r="F108" i="3"/>
  <c r="F110" i="3"/>
  <c r="F111" i="3"/>
  <c r="F112" i="3"/>
  <c r="F113" i="3"/>
  <c r="F114" i="3"/>
  <c r="F115" i="3"/>
  <c r="F116" i="3"/>
  <c r="F275" i="3"/>
  <c r="F276" i="3"/>
  <c r="F124" i="3"/>
  <c r="F125" i="3"/>
  <c r="F126" i="3"/>
  <c r="F127" i="3"/>
  <c r="F128" i="3"/>
  <c r="F129" i="3"/>
  <c r="F130" i="3"/>
  <c r="F131" i="3"/>
  <c r="F348" i="3"/>
  <c r="F349" i="3"/>
  <c r="F282" i="3"/>
  <c r="F215" i="3"/>
  <c r="F217" i="3"/>
  <c r="F219" i="3"/>
  <c r="F221" i="3"/>
  <c r="F374" i="3"/>
  <c r="F223" i="3"/>
  <c r="F375" i="3"/>
  <c r="F225" i="3"/>
  <c r="F227" i="3"/>
  <c r="F229" i="3"/>
  <c r="F231" i="3"/>
  <c r="F376" i="3"/>
  <c r="F233" i="3"/>
  <c r="F377" i="3"/>
  <c r="F235" i="3"/>
  <c r="F236" i="3"/>
  <c r="F237" i="3"/>
  <c r="F238" i="3"/>
  <c r="F378" i="3"/>
  <c r="F239" i="3"/>
  <c r="F379" i="3"/>
  <c r="F240" i="3"/>
  <c r="F241" i="3"/>
  <c r="F242" i="3"/>
  <c r="F243" i="3"/>
  <c r="F380" i="3"/>
  <c r="F244" i="3"/>
  <c r="F381" i="3"/>
  <c r="F382" i="3"/>
  <c r="F383" i="3"/>
  <c r="F384" i="3"/>
  <c r="F385" i="3"/>
  <c r="F72" i="3"/>
  <c r="F207" i="3"/>
  <c r="F73" i="3"/>
  <c r="F74" i="3"/>
  <c r="F386" i="3"/>
  <c r="F75" i="3"/>
  <c r="F387" i="3"/>
  <c r="F80" i="3"/>
  <c r="F205" i="3"/>
  <c r="F81" i="3"/>
  <c r="F82" i="3"/>
  <c r="F388" i="3"/>
  <c r="F83" i="3"/>
  <c r="F389" i="3"/>
  <c r="F284" i="3"/>
  <c r="F285" i="3"/>
  <c r="F286" i="3"/>
  <c r="F287" i="3"/>
  <c r="F390" i="3"/>
  <c r="F288" i="3"/>
  <c r="F391" i="3"/>
  <c r="F289" i="3"/>
  <c r="F290" i="3"/>
  <c r="F291" i="3"/>
  <c r="F292" i="3"/>
  <c r="F392" i="3"/>
  <c r="F293" i="3"/>
  <c r="F350" i="3"/>
  <c r="F294" i="3"/>
  <c r="F296" i="3"/>
  <c r="F298" i="3"/>
  <c r="F300" i="3"/>
  <c r="F393" i="3"/>
  <c r="F302" i="3"/>
  <c r="F394" i="3"/>
  <c r="F304" i="3"/>
  <c r="F306" i="3"/>
  <c r="F308" i="3"/>
  <c r="F310" i="3"/>
  <c r="F395" i="3"/>
  <c r="F312" i="3"/>
  <c r="F396" i="3"/>
  <c r="F255" i="3"/>
  <c r="F257" i="3"/>
  <c r="F259" i="3"/>
  <c r="F261" i="3"/>
  <c r="F397" i="3"/>
  <c r="F263" i="3"/>
  <c r="F398" i="3"/>
  <c r="F245" i="3"/>
  <c r="F247" i="3"/>
  <c r="F249" i="3"/>
  <c r="F251" i="3"/>
  <c r="F399" i="3"/>
  <c r="F253" i="3"/>
  <c r="F400" i="3"/>
  <c r="F265" i="3"/>
  <c r="F266" i="3"/>
  <c r="F267" i="3"/>
  <c r="F268" i="3"/>
  <c r="F401" i="3"/>
  <c r="F269" i="3"/>
  <c r="F402" i="3"/>
  <c r="F270" i="3"/>
  <c r="F271" i="3"/>
  <c r="F272" i="3"/>
  <c r="F273" i="3"/>
  <c r="F403" i="3"/>
  <c r="F274" i="3"/>
  <c r="F404" i="3"/>
  <c r="F184" i="3"/>
  <c r="F202" i="3"/>
  <c r="F188" i="3"/>
  <c r="F192" i="3"/>
  <c r="F405" i="3"/>
  <c r="F196" i="3"/>
  <c r="F406" i="3"/>
  <c r="F186" i="3"/>
  <c r="F200" i="3"/>
  <c r="F190" i="3"/>
  <c r="F194" i="3"/>
  <c r="F407" i="3"/>
  <c r="F198" i="3"/>
  <c r="F408" i="3"/>
  <c r="F185" i="3"/>
  <c r="F203" i="3"/>
  <c r="F189" i="3"/>
  <c r="F193" i="3"/>
  <c r="F409" i="3"/>
  <c r="F197" i="3"/>
  <c r="F410" i="3"/>
  <c r="F187" i="3"/>
  <c r="F201" i="3"/>
  <c r="F191" i="3"/>
  <c r="F195" i="3"/>
  <c r="F411" i="3"/>
  <c r="F199" i="3"/>
  <c r="F412" i="3"/>
  <c r="F314" i="3"/>
  <c r="F315" i="3"/>
  <c r="F316" i="3"/>
  <c r="F317" i="3"/>
  <c r="F413" i="3"/>
  <c r="F318" i="3"/>
  <c r="F414" i="3"/>
  <c r="F319" i="3"/>
  <c r="F320" i="3"/>
  <c r="F321" i="3"/>
  <c r="F322" i="3"/>
  <c r="F415" i="3"/>
  <c r="F323" i="3"/>
  <c r="F416" i="3"/>
  <c r="F324" i="3"/>
  <c r="F325" i="3"/>
  <c r="F326" i="3"/>
  <c r="F327" i="3"/>
  <c r="F417" i="3"/>
  <c r="F328" i="3"/>
  <c r="F418" i="3"/>
  <c r="F329" i="3"/>
  <c r="F330" i="3"/>
  <c r="F331" i="3"/>
  <c r="F332" i="3"/>
  <c r="F419" i="3"/>
  <c r="F333" i="3"/>
  <c r="F5" i="3"/>
  <c r="F210" i="3"/>
  <c r="F209" i="3"/>
  <c r="F2" i="3"/>
  <c r="H7" i="3" l="1"/>
  <c r="H8" i="3"/>
  <c r="H6" i="3"/>
  <c r="P8" i="3" l="1"/>
  <c r="Q8" i="3" s="1"/>
  <c r="N8" i="3"/>
  <c r="O8" i="3" s="1"/>
  <c r="L8" i="3"/>
  <c r="M8" i="3" s="1"/>
  <c r="P6" i="3"/>
  <c r="Q6" i="3" s="1"/>
  <c r="N6" i="3"/>
  <c r="O6" i="3" s="1"/>
  <c r="L6" i="3"/>
  <c r="M6" i="3" s="1"/>
  <c r="P7" i="3"/>
  <c r="Q7" i="3" s="1"/>
  <c r="N7" i="3"/>
  <c r="O7" i="3" s="1"/>
  <c r="L7" i="3"/>
  <c r="M7" i="3" s="1"/>
  <c r="I8" i="3"/>
  <c r="J8" i="3"/>
  <c r="K8" i="3" s="1"/>
  <c r="I6" i="3"/>
  <c r="J6" i="3"/>
  <c r="K6" i="3" s="1"/>
  <c r="I7" i="3"/>
  <c r="J7" i="3"/>
  <c r="K7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5A902C-24D1-4462-92FD-DEB6AE6A76C0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<sst xmlns="http://schemas.openxmlformats.org/spreadsheetml/2006/main" count="3383" uniqueCount="702">
  <si>
    <t>Grupo</t>
  </si>
  <si>
    <t>Linha</t>
  </si>
  <si>
    <t>Descrição</t>
  </si>
  <si>
    <t>COMPRESSA ESTÉRIL</t>
  </si>
  <si>
    <t>Med Mais</t>
  </si>
  <si>
    <t>Estéril 9 fios</t>
  </si>
  <si>
    <t>Estéril 11 fios</t>
  </si>
  <si>
    <t>Estéril 13 fios</t>
  </si>
  <si>
    <t>Ultra Textil</t>
  </si>
  <si>
    <t>Med Textil</t>
  </si>
  <si>
    <t>CAMPOS OPERATÓRIOS</t>
  </si>
  <si>
    <t>CAMPO C/ 2</t>
  </si>
  <si>
    <t>CAMPO C/ 5</t>
  </si>
  <si>
    <t>CAMPO 45 X 50</t>
  </si>
  <si>
    <t>COMPRESSA NÃO ESTÉRIL – 9 FIOS</t>
  </si>
  <si>
    <t>COMPRESSA 9 FIOS</t>
  </si>
  <si>
    <t>COMPRESSA NÃO ESTÉRIL – 11 FIOS</t>
  </si>
  <si>
    <t>COMPRESSA 11 FIOS</t>
  </si>
  <si>
    <t>COMPRESSA DE GAZE 11F</t>
  </si>
  <si>
    <t>COMPRESSA NÃO ESTÉRIL – 13 FIOS</t>
  </si>
  <si>
    <t>COMPRESSA 13 FIOS</t>
  </si>
  <si>
    <t>GAZE EM ROLO – 9 FIOS</t>
  </si>
  <si>
    <t>ROLO 9 FIOS</t>
  </si>
  <si>
    <t>GAZE EM ROLO – 11 FIOS</t>
  </si>
  <si>
    <t>ROLO 11 FIOS</t>
  </si>
  <si>
    <t>GAZE EM ROLO – 13 FIOS</t>
  </si>
  <si>
    <t>ROLO 13 FIOS</t>
  </si>
  <si>
    <t>ATADURAS LINHA FARMA</t>
  </si>
  <si>
    <t>Med Mais - COMBATE (A)</t>
  </si>
  <si>
    <t>8 X 1,00</t>
  </si>
  <si>
    <t>10 X 1,00</t>
  </si>
  <si>
    <t>12 X 1,00</t>
  </si>
  <si>
    <t>15 X 1,00</t>
  </si>
  <si>
    <t>20 X 1,00</t>
  </si>
  <si>
    <t>25 X 1,00</t>
  </si>
  <si>
    <t>30 X 1,00</t>
  </si>
  <si>
    <t>8 X 1,50</t>
  </si>
  <si>
    <t>10 X 1,50</t>
  </si>
  <si>
    <t>12 X 1,50</t>
  </si>
  <si>
    <t>15 X 1,50</t>
  </si>
  <si>
    <t>20 X 1,50</t>
  </si>
  <si>
    <t>25 X 1,50</t>
  </si>
  <si>
    <t>30 X 1,50</t>
  </si>
  <si>
    <t>Med Mais - EXTRA (B)</t>
  </si>
  <si>
    <t>8 X 1,20</t>
  </si>
  <si>
    <t>10 X 1,20</t>
  </si>
  <si>
    <t>12 X 1,20</t>
  </si>
  <si>
    <t>15 X 1,20</t>
  </si>
  <si>
    <t>20 X 1,20</t>
  </si>
  <si>
    <t>25 X 1,20</t>
  </si>
  <si>
    <t>30 X 1,20</t>
  </si>
  <si>
    <t>8 X 1,80</t>
  </si>
  <si>
    <t>10 X 1,80</t>
  </si>
  <si>
    <t>12 X 1,80</t>
  </si>
  <si>
    <t>15 X 1,80</t>
  </si>
  <si>
    <t>20 X 1,80</t>
  </si>
  <si>
    <t>25 X 1,80</t>
  </si>
  <si>
    <t>30 X 1,80</t>
  </si>
  <si>
    <t>Ultra Textil - COMBATE (A)</t>
  </si>
  <si>
    <t>Ultra Textil - EXTRA (B)</t>
  </si>
  <si>
    <t>Med Textil - COMBATE (A)</t>
  </si>
  <si>
    <t>Med Textil - EXTRA (B)</t>
  </si>
  <si>
    <t>ATADURAS LINHA HOSPITALAR</t>
  </si>
  <si>
    <t>Conviva (Marca Própria)</t>
  </si>
  <si>
    <t>ESTÉRIL 13 FIOS CONVIVA</t>
  </si>
  <si>
    <t>Bcmed (Marca Própria)</t>
  </si>
  <si>
    <t>ESTÉRIL 13 FIOS BC MED</t>
  </si>
  <si>
    <t>MedLife (Marca Própria)</t>
  </si>
  <si>
    <t>ESTÉRIL 13 FIOS MEDLIFE</t>
  </si>
  <si>
    <t xml:space="preserve"> ATADURA DE CREPE 13 FIOS 10 X 1,20  PCT 12</t>
  </si>
  <si>
    <t xml:space="preserve"> ATADURA DE CREPE 13 FIOS 10 X 1,20  PCT 12 HOSP. C</t>
  </si>
  <si>
    <t xml:space="preserve"> ATADURA DE CREPE 13 FIOS 10 X 1,80  PCT 12</t>
  </si>
  <si>
    <t xml:space="preserve"> ATADURA DE CREPE 13 FIOS 10 X 1,80  PCT 12 FARMA E</t>
  </si>
  <si>
    <t xml:space="preserve"> ATADURA DE CREPE 13 FIOS 12 X 1,20  PCT 12</t>
  </si>
  <si>
    <t xml:space="preserve"> ATADURA DE CREPE 13 FIOS 12 X 1,20  PCT 12 FARMA E</t>
  </si>
  <si>
    <t xml:space="preserve"> ATADURA DE CREPE 13 FIOS 12 X 1,20  PCT 12 HOSP. C</t>
  </si>
  <si>
    <t xml:space="preserve"> ATADURA DE CREPE 13 FIOS 12 X 1,20  PCT 12 HOSP. E</t>
  </si>
  <si>
    <t xml:space="preserve"> ATADURA DE CREPE 13 FIOS 12 X 1,80  PCT 12</t>
  </si>
  <si>
    <t xml:space="preserve"> ATADURA DE CREPE 13 FIOS 12 X 1,80  PCT 12 FARMA E</t>
  </si>
  <si>
    <t xml:space="preserve"> ATADURA DE CREPE 13 FIOS 12 X 1,80  PCT 12 HOSP. C</t>
  </si>
  <si>
    <t xml:space="preserve"> ATADURA DE CREPE 13 FIOS 15 X 1,20  PCT 12</t>
  </si>
  <si>
    <t xml:space="preserve"> ATADURA DE CREPE 13 FIOS 15 X 1,20  PCT 12 FARMA C</t>
  </si>
  <si>
    <t xml:space="preserve"> ATADURA DE CREPE 13 FIOS 15 X 1,20  PCT 12 HOSP. E</t>
  </si>
  <si>
    <t xml:space="preserve"> ATADURA DE CREPE 13 FIOS 15 X 1,80  PCT 12</t>
  </si>
  <si>
    <t xml:space="preserve"> ATADURA DE CREPE 13 FIOS 15 X 1,80  PCT 12 FARMA C</t>
  </si>
  <si>
    <t xml:space="preserve"> ATADURA DE CREPE 13 FIOS 15 X 1,80  PCT 12 FARMA E</t>
  </si>
  <si>
    <t xml:space="preserve"> ATADURA DE CREPE 13 FIOS 15 X 1,80  PCT 12 HOSP. C</t>
  </si>
  <si>
    <t xml:space="preserve"> ATADURA DE CREPE 13 FIOS 20 X 1,20  PCT 12</t>
  </si>
  <si>
    <t xml:space="preserve"> ATADURA DE CREPE 13 FIOS 20 X 1,20  PCT 12 FARMA C</t>
  </si>
  <si>
    <t xml:space="preserve"> ATADURA DE CREPE 13 FIOS 20 X 1,20  PCT 12 FARMA E</t>
  </si>
  <si>
    <t xml:space="preserve"> ATADURA DE CREPE 13 FIOS 20 X 1,20  PCT 12 HOSP. E</t>
  </si>
  <si>
    <t xml:space="preserve"> ATADURA DE CREPE 13 FIOS 20 X 1,80  PCT 12</t>
  </si>
  <si>
    <t xml:space="preserve"> ATADURA DE CREPE 13 FIOS 20 X 1,80  PCT 12 FARMA C</t>
  </si>
  <si>
    <t xml:space="preserve"> ATADURA DE CREPE 13 FIOS 20 X 1,80  PCT 12 FARMA E</t>
  </si>
  <si>
    <t xml:space="preserve"> ATADURA DE CREPE 13 FIOS 20 X 1,80  PCT 12 HOSP. C</t>
  </si>
  <si>
    <t xml:space="preserve"> ATADURA DE CREPE 13 FIOS 20 X 1,80  PCT 12 HOSP. E</t>
  </si>
  <si>
    <t xml:space="preserve"> ATADURA DE CREPE 13 FIOS 30 X 1,20  PCT 12</t>
  </si>
  <si>
    <t xml:space="preserve"> ATADURA DE CREPE 13 FIOS 30 X 1,20  PCT 12 FARMA C</t>
  </si>
  <si>
    <t xml:space="preserve"> ATADURA DE CREPE 13 FIOS 30 X 1,20  PCT 12 FARMA E</t>
  </si>
  <si>
    <t xml:space="preserve"> ATADURA DE CREPE 13 FIOS 30 X 1,20  PCT 12 HOSP. C</t>
  </si>
  <si>
    <t xml:space="preserve"> ATADURA DE CREPE 13 FIOS 30 X 1,20  PCT 12 HOSP. E</t>
  </si>
  <si>
    <t xml:space="preserve"> ATADURA DE CREPE 13 FIOS 30 X 1,80  PCT 12</t>
  </si>
  <si>
    <t xml:space="preserve"> ATADURA DE CREPE 13 FIOS 30 X 1,80  PCT 12 FARMA C</t>
  </si>
  <si>
    <t xml:space="preserve"> ATADURA DE CREPE 13 FIOS 30 X 1,80  PCT 12 FARMA E</t>
  </si>
  <si>
    <t xml:space="preserve"> ATADURA DE CREPE13 FIOS 15 X 1,80  PCT 12 </t>
  </si>
  <si>
    <t xml:space="preserve"> ATADURA DE CREPE13 FIOS 20 X 1,80  PCT 12 </t>
  </si>
  <si>
    <t xml:space="preserve"> CAMPO OPERATORIO ESTERIL 25X28 - PCT 5 UND </t>
  </si>
  <si>
    <t xml:space="preserve"> GAZE ESTÉRIL 13FIOS - PCT 10 UND </t>
  </si>
  <si>
    <t xml:space="preserve"> GAZE NAO ESTÉRIL 11 FIOS B</t>
  </si>
  <si>
    <t xml:space="preserve"> GAZE NAO ESTÉRIL 13 FIOS - PCT 500 UND</t>
  </si>
  <si>
    <t>ATADURA DE CREPE 13 FIOS 10 X 1,20  PCT 12</t>
  </si>
  <si>
    <t>ATADURA DE CREPE 13 FIOS 10 X 1,20  PCT 12 FARMA C</t>
  </si>
  <si>
    <t>ATADURA DE CREPE 13 FIOS 10 X 1,20  PCT 12 FARMA E</t>
  </si>
  <si>
    <t>ATADURA DE CREPE 13 FIOS 10 X 1,20  PCT 12 HOSP. E</t>
  </si>
  <si>
    <t>ATADURA DE CREPE 13 FIOS 10 X 1,20  PCT 12 HOSPITALAR C</t>
  </si>
  <si>
    <t>ATADURA DE CREPE 13 FIOS 10 X 1,20  PCT 12 HOSPITALAR E</t>
  </si>
  <si>
    <t>ATADURA DE CREPE 13 FIOS 10 X 1,80  PCT 12</t>
  </si>
  <si>
    <t>ATADURA DE CREPE 13 FIOS 10 X 1,80  PCT 12   FARMA C</t>
  </si>
  <si>
    <t>ATADURA DE CREPE 13 FIOS 10 X 1,80  PCT 12   HOSPITALAR C</t>
  </si>
  <si>
    <t>ATADURA DE CREPE 13 FIOS 10 X 1,80  PCT 12   HOSPITALAR E</t>
  </si>
  <si>
    <t>ATADURA DE CREPE 13 FIOS 10 X 1,80  PCT 12 - FARMA C</t>
  </si>
  <si>
    <t>ATADURA DE CREPE 13 FIOS 10 X 1,80  PCT 12 FARMA E</t>
  </si>
  <si>
    <t>ATADURA DE CREPE 13 FIOS 10 X 1,80  PCT 12 HOSP. C</t>
  </si>
  <si>
    <t>ATADURA DE CREPE 13 FIOS 10 X 1,80  PCT 12 HOSP. E</t>
  </si>
  <si>
    <t>ATADURA DE CREPE 13 FIOS 12 X 1,20  PCT 12</t>
  </si>
  <si>
    <t>ATADURA DE CREPE 13 FIOS 12 X 1,20  PCT 12  HOSPITALAR C</t>
  </si>
  <si>
    <t>ATADURA DE CREPE 13 FIOS 12 X 1,20  PCT 12 FARMA C</t>
  </si>
  <si>
    <t>ATADURA DE CREPE 13 FIOS 12 X 1,20  PCT 12 FARMA E</t>
  </si>
  <si>
    <t>ATADURA DE CREPE 13 FIOS 12 X 1,20  PCT 12 HOSPITALAR E</t>
  </si>
  <si>
    <t>ATADURA DE CREPE 13 FIOS 12 X 1,80  PCT 12</t>
  </si>
  <si>
    <t>ATADURA DE CREPE 13 FIOS 12 X 1,80  PCT 12  HOSPITALAR C</t>
  </si>
  <si>
    <t>ATADURA DE CREPE 13 FIOS 12 X 1,80  PCT 12  HOSPITALAR E</t>
  </si>
  <si>
    <t>ATADURA DE CREPE 13 FIOS 12 X 1,80  PCT 12 FARMA C</t>
  </si>
  <si>
    <t>ATADURA DE CREPE 13 FIOS 12 X 1,80  PCT 12 FARMA E</t>
  </si>
  <si>
    <t>ATADURA DE CREPE 13 FIOS 12 X 1,80  PCT 12 HOSP. E</t>
  </si>
  <si>
    <t>ATADURA DE CREPE 13 FIOS 15 X 1,20  PCT 12</t>
  </si>
  <si>
    <t>ATADURA DE CREPE 13 FIOS 15 X 1,20  PCT 12  HOSPITALAR C</t>
  </si>
  <si>
    <t xml:space="preserve">ATADURA DE CREPE 13 FIOS 15 X 1,20  PCT 12 FARMA C </t>
  </si>
  <si>
    <t>160</t>
  </si>
  <si>
    <t>ATADURA DE CREPE 13 FIOS 15 X 1,20  PCT 12 FARMA E</t>
  </si>
  <si>
    <t>ATADURA DE CREPE 13 FIOS 15 X 1,20  PCT 12 HOSP. C</t>
  </si>
  <si>
    <t>420</t>
  </si>
  <si>
    <t>ATADURA DE CREPE 13 FIOS 15 X 1,20  PCT 12 HOSPITALAR E</t>
  </si>
  <si>
    <t>ATADURA DE CREPE 13 FIOS 15 X 1,80  PCT 12</t>
  </si>
  <si>
    <t>ATADURA DE CREPE 13 FIOS 15 X 1,80  PCT 12   HOSPITALAR C</t>
  </si>
  <si>
    <t>ATADURA DE CREPE 13 FIOS 15 X 1,80  PCT 12  FARMA C</t>
  </si>
  <si>
    <t>ATADURA DE CREPE 13 FIOS 15 X 1,80  PCT 12  HOSPITALAR E</t>
  </si>
  <si>
    <t>ATADURA DE CREPE 13 FIOS 15 X 1,80  PCT 12 HOSP. E</t>
  </si>
  <si>
    <t>ATADURA DE CREPE 13 FIOS 20 X 1,20  PCT 12</t>
  </si>
  <si>
    <t xml:space="preserve">ATADURA DE CREPE 13 FIOS 20 X 1,20  PCT 12  FARMA C </t>
  </si>
  <si>
    <t>ATADURA DE CREPE 13 FIOS 20 X 1,20  PCT 12  HOSPITALAR C</t>
  </si>
  <si>
    <t>ATADURA DE CREPE 13 FIOS 20 X 1,20  PCT 12  HOSPITALAR E</t>
  </si>
  <si>
    <t>ATADURA DE CREPE 13 FIOS 20 X 1,20  PCT 12 FARMA E</t>
  </si>
  <si>
    <t>ATADURA DE CREPE 13 FIOS 20 X 1,20  PCT 12 HOSP. C</t>
  </si>
  <si>
    <t>ATADURA DE CREPE 13 FIOS 20 X 1,80  PCT 12   HOSPITALAR C</t>
  </si>
  <si>
    <t xml:space="preserve">ATADURA DE CREPE 13 FIOS 20 X 1,80  PCT 12  FARMA C </t>
  </si>
  <si>
    <t>ATADURA DE CREPE 13 FIOS 20 X 1,80  PCT 12  HOSPITALAR E</t>
  </si>
  <si>
    <t>ATADURA DE CREPE 13 FIOS 30 X 1,20  PCT 12  FARMA C</t>
  </si>
  <si>
    <t>ATADURA DE CREPE 13 FIOS 30 X 1,20  PCT 12  HOSPITALAR C</t>
  </si>
  <si>
    <t>ATADURA DE CREPE 13 FIOS 30 X 1,20  PCT 12  HOSPITALAR E</t>
  </si>
  <si>
    <t>ATADURA DE CREPE 13 FIOS 30 X 1,20  PCT 12 FARMA E</t>
  </si>
  <si>
    <t>ATADURA DE CREPE 13 FIOS 30 X 1,80  PCT 12</t>
  </si>
  <si>
    <t>ATADURA DE CREPE 13 FIOS 30 X 1,80  PCT 12   HOSPITALAR C</t>
  </si>
  <si>
    <t>ATADURA DE CREPE 13 FIOS 30 X 1,80  PCT 12  HOSPITALAR E</t>
  </si>
  <si>
    <t>430</t>
  </si>
  <si>
    <t>ATADURA DE CREPE 13 FIOS 30 X 1,80  PCT 12 FARMA C</t>
  </si>
  <si>
    <t>170</t>
  </si>
  <si>
    <t>ATADURA DE CREPE 13 FIOS 30 X 1,80  PCT 12 FARMA E</t>
  </si>
  <si>
    <t>ATADURA DE CREPE 13 FIOS 30 X 1,80  PCT 12 HOSP. C</t>
  </si>
  <si>
    <t>ATADURA DE CREPE 13 FIOS 30 X 1,80  PCT 12 HOSP. E</t>
  </si>
  <si>
    <t xml:space="preserve">ATADURA DE CREPE 13 FIOS 8 X 1,20  PCT 12 </t>
  </si>
  <si>
    <t>ATADURA DE CREPE 13 FIOS 8 X 1,20  PCT 12 FARMA C</t>
  </si>
  <si>
    <t>ATADURA DE CREPE13 FIOS 15 X 1,80  PCT 12 FARMA E</t>
  </si>
  <si>
    <t>ATADURA DE CREPE13 FIOS 20 X 1,80  PCT 12 FARMA E</t>
  </si>
  <si>
    <t>CAMPO OPERATORIO ESTERIL 25X28 - PCT 2 UND</t>
  </si>
  <si>
    <t xml:space="preserve">CAMPO OPERATORIO ESTERIL 25X28 - PCT 2 UND </t>
  </si>
  <si>
    <t>CAMPO OPERATORIO ESTERIL 25X28 - PCT 5 UND</t>
  </si>
  <si>
    <t>CAMPO OPERATORIO NAO ESTERIL 45X50 - PCT 50</t>
  </si>
  <si>
    <t xml:space="preserve">CAMPO OPERATORIO NAO ESTERIL 45X50 - PCT 50 </t>
  </si>
  <si>
    <t>CAMPO OPERATORIO NAO ESTERIL 45X50 - PCT 50 UND</t>
  </si>
  <si>
    <t>290</t>
  </si>
  <si>
    <t xml:space="preserve">CIRCULAR NAO ESTERIL 11 FIOS </t>
  </si>
  <si>
    <t xml:space="preserve">CIRCULAR NAO ESTERIL 13 FIOS  </t>
  </si>
  <si>
    <t xml:space="preserve">GAZE  CIRCULAR NAO ESTERIL 09 FIOS </t>
  </si>
  <si>
    <t>GAZE  CIRCULAR NAO ESTERIL 09 FIOS F</t>
  </si>
  <si>
    <t>GAZE  CIRCULAR NAO ESTERIL 09 FIOS H</t>
  </si>
  <si>
    <t>GAZE  CIRCULAR NAO ESTERIL 11 FIOS H</t>
  </si>
  <si>
    <t xml:space="preserve">GAZE CIRCULAR NAO ESTERIL 09 FIOS </t>
  </si>
  <si>
    <t>GAZE CIRCULAR NAO ESTERIL 09 FIOS A</t>
  </si>
  <si>
    <t xml:space="preserve">GAZE CIRCULAR NAO ESTERIL 09 FIOS A  </t>
  </si>
  <si>
    <t>130</t>
  </si>
  <si>
    <t>GAZE CIRCULAR NAO ESTERIL 09 FIOS B</t>
  </si>
  <si>
    <t>GAZE CIRCULAR NAO ESTERIL 09 FIOS C</t>
  </si>
  <si>
    <t>GAZE CIRCULAR NAO ESTERIL 09 FIOS E</t>
  </si>
  <si>
    <t>GAZE CIRCULAR NAO ESTERIL 09 FIOS F</t>
  </si>
  <si>
    <t>GAZE CIRCULAR NAO ESTERIL 09 FIOS G</t>
  </si>
  <si>
    <t>GAZE CIRCULAR NAO ESTERIL 09 FIOS H</t>
  </si>
  <si>
    <t>GAZE CIRCULAR NAO ESTERIL 09 FIOS I</t>
  </si>
  <si>
    <t>90</t>
  </si>
  <si>
    <t>GAZE CIRCULAR NAO ESTERIL 09 FIOS J</t>
  </si>
  <si>
    <t>GAZE CIRCULAR NAO ESTERIL 09 FIOS L</t>
  </si>
  <si>
    <t>GAZE CIRCULAR NAO ESTERIL 09 FIOS M</t>
  </si>
  <si>
    <t>GAZE CIRCULAR NAO ESTERIL 09 FIOS N</t>
  </si>
  <si>
    <t>GAZE CIRCULAR NAO ESTERIL 09 FIOS O</t>
  </si>
  <si>
    <t>GAZE CIRCULAR NAO ESTERIL 09 FIOS P</t>
  </si>
  <si>
    <t>GAZE CIRCULAR NAO ESTERIL 09 FIOS Q</t>
  </si>
  <si>
    <t>GAZE CIRCULAR NAO ESTERIL 09 FIOS R</t>
  </si>
  <si>
    <t xml:space="preserve">GAZE CIRCULAR NAO ESTERIL 11 FIOS </t>
  </si>
  <si>
    <t>100</t>
  </si>
  <si>
    <t xml:space="preserve">GAZE CIRCULAR NAO ESTERIL 11 FIOS  </t>
  </si>
  <si>
    <t>GAZE CIRCULAR NAO ESTERIL 11 FIOS A</t>
  </si>
  <si>
    <t>GAZE CIRCULAR NAO ESTERIL 11 FIOS B</t>
  </si>
  <si>
    <t>GAZE CIRCULAR NAO ESTERIL 11 FIOS BA</t>
  </si>
  <si>
    <t>GAZE CIRCULAR NAO ESTERIL 11 FIOS CA</t>
  </si>
  <si>
    <t>140</t>
  </si>
  <si>
    <t>GAZE CIRCULAR NAO ESTERIL 11 FIOS DA</t>
  </si>
  <si>
    <t>GAZE CIRCULAR NAO ESTERIL 11 FIOS FA</t>
  </si>
  <si>
    <t>GAZE CIRCULAR NAO ESTERIL 11 FIOS G</t>
  </si>
  <si>
    <t>GAZE CIRCULAR NAO ESTERIL 11 FIOS GA</t>
  </si>
  <si>
    <t>GAZE CIRCULAR NAO ESTERIL 11 FIOS IA</t>
  </si>
  <si>
    <t>GAZE CIRCULAR NAO ESTERIL 11 FIOS JA</t>
  </si>
  <si>
    <t>GAZE CIRCULAR NAO ESTERIL 11 FIOS LA</t>
  </si>
  <si>
    <t>270</t>
  </si>
  <si>
    <t>GAZE CIRCULAR NAO ESTERIL 11 FIOS MA</t>
  </si>
  <si>
    <t>110</t>
  </si>
  <si>
    <t>GAZE CIRCULAR NAO ESTERIL 11 FIOS NA</t>
  </si>
  <si>
    <t>GAZE CIRCULAR NAO ESTERIL 11 FIOS OA</t>
  </si>
  <si>
    <t>GAZE CIRCULAR NAO ESTERIL 13 FIOS</t>
  </si>
  <si>
    <t xml:space="preserve">GAZE CIRCULAR NAO ESTERIL 13 FIOS </t>
  </si>
  <si>
    <t>GAZE CIRCULAR NAO ESTERIL 13 FIOS A</t>
  </si>
  <si>
    <t>GAZE CIRCULAR NAO ESTERIL 13 FIOS AA</t>
  </si>
  <si>
    <t>GAZE CIRCULAR NAO ESTERIL 13 FIOS BA</t>
  </si>
  <si>
    <t>GAZE CIRCULAR NAO ESTERIL 13 FIOS CA</t>
  </si>
  <si>
    <t>300</t>
  </si>
  <si>
    <t>GAZE CIRCULAR NAO ESTERIL 13 FIOS D</t>
  </si>
  <si>
    <t>GAZE CIRCULAR NAO ESTERIL 13 FIOS E</t>
  </si>
  <si>
    <t>GAZE CIRCULAR NAO ESTERIL 13 FIOS EA</t>
  </si>
  <si>
    <t>GAZE CIRCULAR NAO ESTERIL 13 FIOS F</t>
  </si>
  <si>
    <t>GAZE CIRCULAR NAO ESTERIL 13 FIOS FA</t>
  </si>
  <si>
    <t>GAZE CIRCULAR NAO ESTERIL 13 FIOS G</t>
  </si>
  <si>
    <t>150</t>
  </si>
  <si>
    <t>GAZE CIRCULAR NAO ESTERIL 13 FIOS GA</t>
  </si>
  <si>
    <t>GAZE CIRCULAR NAO ESTERIL 13 FIOS H</t>
  </si>
  <si>
    <t>280</t>
  </si>
  <si>
    <t>GAZE CIRCULAR NAO ESTERIL 13 FIOS HA</t>
  </si>
  <si>
    <t>120</t>
  </si>
  <si>
    <t>GAZE CIRCULAR NAO ESTERIL 13 FIOS JA</t>
  </si>
  <si>
    <t>GAZE CIRCULAR NAO ESTERIL 13 FIOS LA</t>
  </si>
  <si>
    <t>GAZE CIRCULAR NAO ESTERIL 13 FIOS MA</t>
  </si>
  <si>
    <t>GAZE CIRCULAR NAO ESTERIL 13 FIOS NA</t>
  </si>
  <si>
    <t>GAZE CIRCULAR NAO ESTERIL 13 FIOS OA</t>
  </si>
  <si>
    <t>GAZE CIRCULAR NAO ESTERIL 13 FIOS QA</t>
  </si>
  <si>
    <t>GAZE CIRCULAR NAO ESTERIL 13 FIOS RA</t>
  </si>
  <si>
    <t>GAZE ESTÉRIL 09 FIOS - PCT 10 UND</t>
  </si>
  <si>
    <t xml:space="preserve">GAZE ESTÉRIL 09 FIOS - PCT 10 UND </t>
  </si>
  <si>
    <t xml:space="preserve">GAZE ESTERIL 09 FIOS ULTRA TEXTIL PCT 10 UND </t>
  </si>
  <si>
    <t xml:space="preserve">GAZE ESTERIL 11 FIOS PCT 10 UND </t>
  </si>
  <si>
    <t xml:space="preserve">GAZE ESTÉRIL 11FIOS -  PCT 10 UND </t>
  </si>
  <si>
    <t xml:space="preserve">GAZE ESTÉRIL 11FIOS - PCT 10 UND </t>
  </si>
  <si>
    <t xml:space="preserve">GAZE ESTERIL 13 FIOS PCT 10 UND </t>
  </si>
  <si>
    <t>GAZE ESTÉRIL 13FIOS - BC MED - PCT 10 UND</t>
  </si>
  <si>
    <t>GAZE ESTÉRIL 13FIOS - CONVIVA - PCT 10 UND</t>
  </si>
  <si>
    <t>260</t>
  </si>
  <si>
    <t>GAZE ESTÉRIL 13FIOS - MEDLIFE - PCT 10 UND</t>
  </si>
  <si>
    <t xml:space="preserve">GAZE ESTÉRIL 13FIOS - PCT 10 UND </t>
  </si>
  <si>
    <t xml:space="preserve">GAZE NAO ESTÉRIL 09 FIOS </t>
  </si>
  <si>
    <t xml:space="preserve">GAZE NAO ESTÉRIL 09 FIOS  </t>
  </si>
  <si>
    <t>GAZE NAO ESTÉRIL 09 FIOS - PCT 500 UND</t>
  </si>
  <si>
    <t>GAZE NAO ESTÉRIL 09 FIOS B</t>
  </si>
  <si>
    <t>GAZE NAO ESTÉRIL 09 FIOS D</t>
  </si>
  <si>
    <t>GAZE NAO ESTÉRIL 09 FIOS E</t>
  </si>
  <si>
    <t>GAZE NAO ESTÉRIL 09 FIOS F</t>
  </si>
  <si>
    <t>GAZE NAO ESTÉRIL 09 FIOS G</t>
  </si>
  <si>
    <t>GAZE NAO ESTÉRIL 09 FIOS H</t>
  </si>
  <si>
    <t>GAZE NAO ESTÉRIL 09 FIOS I</t>
  </si>
  <si>
    <t>GAZE NAO ESTÉRIL 09 FIOS J</t>
  </si>
  <si>
    <t>GAZE NAO ESTÉRIL 09 FIOS L</t>
  </si>
  <si>
    <t>GAZE NAO ESTÉRIL 09 FIOS M</t>
  </si>
  <si>
    <t>GAZE NAO ESTÉRIL 09 FIOS N</t>
  </si>
  <si>
    <t>GAZE NAO ESTÉRIL 09 FIOS O</t>
  </si>
  <si>
    <t xml:space="preserve">GAZE NAO ESTÉRIL 11 FIOS </t>
  </si>
  <si>
    <t>310</t>
  </si>
  <si>
    <t>315</t>
  </si>
  <si>
    <t>GAZE NAO ESTÉRIL 11 FIOS B</t>
  </si>
  <si>
    <t>GAZE NAO ESTÉRIL 11 FIOS BA - PCT 500 UND</t>
  </si>
  <si>
    <t>340</t>
  </si>
  <si>
    <t>GAZE NAO ESTÉRIL 11 FIOS CA</t>
  </si>
  <si>
    <t>GAZE NAO ESTÉRIL 11 FIOS DA</t>
  </si>
  <si>
    <t>GAZE NAO ESTÉRIL 11 FIOS E</t>
  </si>
  <si>
    <t>GAZE NAO ESTÉRIL 11 FIOS EA</t>
  </si>
  <si>
    <t>GAZE NAO ESTÉRIL 11 FIOS F</t>
  </si>
  <si>
    <t>GAZE NAO ESTÉRIL 11 FIOS GA</t>
  </si>
  <si>
    <t>GAZE NAO ESTÉRIL 11 FIOS H</t>
  </si>
  <si>
    <t>GAZE NAO ESTÉRIL 11 FIOS HA</t>
  </si>
  <si>
    <t>70</t>
  </si>
  <si>
    <t>GAZE NAO ESTÉRIL 11 FIOS IA</t>
  </si>
  <si>
    <t>GAZE NAO ESTÉRIL 11 FIOS J</t>
  </si>
  <si>
    <t>GAZE NAO ESTÉRIL 11 FIOS L</t>
  </si>
  <si>
    <t>GAZE NAO ESTÉRIL 11 FIOS N</t>
  </si>
  <si>
    <t>320</t>
  </si>
  <si>
    <t>GAZE NAO ESTÉRIL 11 FIOS OA</t>
  </si>
  <si>
    <t xml:space="preserve">GAZE NAO ESTÉRIL 13 FIOS </t>
  </si>
  <si>
    <t>350</t>
  </si>
  <si>
    <t>GAZE NAO ESTÉRIL 13 FIOS  - PCT 500 UND</t>
  </si>
  <si>
    <t>GAZE NAO ESTÉRIL 13 FIOS - PCT 500 UND</t>
  </si>
  <si>
    <t>GAZE NAO ESTÉRIL 13 FIOS B</t>
  </si>
  <si>
    <t>GAZE NAO ESTÉRIL 13 FIOS C</t>
  </si>
  <si>
    <t>GAZE NAO ESTÉRIL 13 FIOS D</t>
  </si>
  <si>
    <t>GAZE NAO ESTÉRIL 13 FIOS DA</t>
  </si>
  <si>
    <t>GAZE NAO ESTÉRIL 13 FIOS E</t>
  </si>
  <si>
    <t>GAZE NAO ESTÉRIL 13 FIOS F</t>
  </si>
  <si>
    <t xml:space="preserve">GAZE NAO ESTÉRIL 13 FIOS F </t>
  </si>
  <si>
    <t>GAZE NAO ESTÉRIL 13 FIOS G</t>
  </si>
  <si>
    <t>GAZE NAO ESTÉRIL 13 FIOS H</t>
  </si>
  <si>
    <t>80</t>
  </si>
  <si>
    <t>GAZE NAO ESTÉRIL 13 FIOS IA</t>
  </si>
  <si>
    <t>330</t>
  </si>
  <si>
    <t>GAZE NAO ESTÉRIL 13 FIOS JA</t>
  </si>
  <si>
    <t>GAZE NAO ESTÉRIL 13 FIOS L</t>
  </si>
  <si>
    <t>GAZE NAO ESTÉRIL 13 FIOS MA</t>
  </si>
  <si>
    <t>GAZE NAO ESTÉRIL 13 FIOS NA</t>
  </si>
  <si>
    <t>GAZE NAO ESTÉRIL 13 FIOS PA</t>
  </si>
  <si>
    <t/>
  </si>
  <si>
    <t>180</t>
  </si>
  <si>
    <t>190</t>
  </si>
  <si>
    <t>200</t>
  </si>
  <si>
    <t>210</t>
  </si>
  <si>
    <t>220</t>
  </si>
  <si>
    <t>230</t>
  </si>
  <si>
    <t>240</t>
  </si>
  <si>
    <t>250</t>
  </si>
  <si>
    <t>360</t>
  </si>
  <si>
    <t>370</t>
  </si>
  <si>
    <t>380</t>
  </si>
  <si>
    <t>390</t>
  </si>
  <si>
    <t>400</t>
  </si>
  <si>
    <t>410</t>
  </si>
  <si>
    <t>440</t>
  </si>
  <si>
    <t>450</t>
  </si>
  <si>
    <t>Gramatura</t>
  </si>
  <si>
    <t>ID_COD</t>
  </si>
  <si>
    <t>DESCRICAONF</t>
  </si>
  <si>
    <t>CX_EMB</t>
  </si>
  <si>
    <t>COMPRESSA DE GAZE NÃO ESTERIL</t>
  </si>
  <si>
    <t>7,5 X 7,5  - 13x24 (aberta)</t>
  </si>
  <si>
    <t>9 fios</t>
  </si>
  <si>
    <t>105gr</t>
  </si>
  <si>
    <t>11 fios</t>
  </si>
  <si>
    <t>130gr</t>
  </si>
  <si>
    <t>13 fios</t>
  </si>
  <si>
    <t>150gr</t>
  </si>
  <si>
    <t>160gr</t>
  </si>
  <si>
    <t>180gr</t>
  </si>
  <si>
    <t>GAZE HIDROFILA CIRCULAR</t>
  </si>
  <si>
    <t>Tipo Queijo 91</t>
  </si>
  <si>
    <t>210gr</t>
  </si>
  <si>
    <t>250gr</t>
  </si>
  <si>
    <t>270gr</t>
  </si>
  <si>
    <t>300gr</t>
  </si>
  <si>
    <t>320gr</t>
  </si>
  <si>
    <t>340gr</t>
  </si>
  <si>
    <t>COMPRESSA ESTÉRIL – 9FIOS</t>
  </si>
  <si>
    <t>COMPRESSA ESTÉRIL – 11FIOS</t>
  </si>
  <si>
    <t>COMPRESSA ESTÉRIL – 13FIOS</t>
  </si>
  <si>
    <t>CAMPO OPERATÓRIO 45X50 (Com Radiopaco)</t>
  </si>
  <si>
    <t>PCT C/50</t>
  </si>
  <si>
    <t>CAMPO OPERATÓRIO 45X50 (Sem Radiopaco)</t>
  </si>
  <si>
    <t>CAMPO OPERATÓRIO – Pré encolhido</t>
  </si>
  <si>
    <t>PCT C/5 UND</t>
  </si>
  <si>
    <t>PCT C/2 UND</t>
  </si>
  <si>
    <t>ATADURA DE CREPE - FARMA</t>
  </si>
  <si>
    <t>08CM x 1,20M</t>
  </si>
  <si>
    <t>13 FIOS</t>
  </si>
  <si>
    <t>115 DUZIAS</t>
  </si>
  <si>
    <t>10CM x 1,20M</t>
  </si>
  <si>
    <t>110 DUZIAS</t>
  </si>
  <si>
    <t>12CM x 1,20M</t>
  </si>
  <si>
    <t>15CM x 1,20M</t>
  </si>
  <si>
    <t>90 DUZIAS</t>
  </si>
  <si>
    <t>20CM x 1,20M</t>
  </si>
  <si>
    <t>70 DUZIAS</t>
  </si>
  <si>
    <t>30CM x 1,20M</t>
  </si>
  <si>
    <t>50 DUZIAS</t>
  </si>
  <si>
    <t>08CM x 1,80M</t>
  </si>
  <si>
    <t>105 DUZIAS</t>
  </si>
  <si>
    <t>10CM x 1,80M</t>
  </si>
  <si>
    <t>100 DUZIAS</t>
  </si>
  <si>
    <t>12CM x 1,80M</t>
  </si>
  <si>
    <t>15CM x 1,80M</t>
  </si>
  <si>
    <t>75 DUZIAS</t>
  </si>
  <si>
    <t>20CM x 1,80M</t>
  </si>
  <si>
    <t>60 DUZIAS</t>
  </si>
  <si>
    <t>30CM x 1,80M</t>
  </si>
  <si>
    <t>40 DUZIAS</t>
  </si>
  <si>
    <t>ATADURA DE CREPE - HOSPITALAR</t>
  </si>
  <si>
    <t>104 DUZIAS</t>
  </si>
  <si>
    <t>52 DUZIAS</t>
  </si>
  <si>
    <t>42 DUZIAS</t>
  </si>
  <si>
    <t>86 DUZIAS</t>
  </si>
  <si>
    <t>44 DUZIAS</t>
  </si>
  <si>
    <t>28 DUZIAS</t>
  </si>
  <si>
    <t>7,5 X 7,5  - 15x26 (aberta)</t>
  </si>
  <si>
    <t>Ultra Têxtil</t>
  </si>
  <si>
    <t>500 und</t>
  </si>
  <si>
    <t>370gr</t>
  </si>
  <si>
    <t>380gr</t>
  </si>
  <si>
    <t>410gr</t>
  </si>
  <si>
    <t>CAMPO OPERATÓRIO - LEVE (Com Radiopaco)</t>
  </si>
  <si>
    <t>20gr</t>
  </si>
  <si>
    <t>17gr</t>
  </si>
  <si>
    <t>7,5 X 7,5 - 15x30 (aberta)</t>
  </si>
  <si>
    <t>Medtextil</t>
  </si>
  <si>
    <t>Tipo Queijo 91cm x 91m</t>
  </si>
  <si>
    <t>1.460gr</t>
  </si>
  <si>
    <t>1.530gr</t>
  </si>
  <si>
    <t>1.650gr</t>
  </si>
  <si>
    <t>COMPRESSA ESTÉRIL – 9FIOS   7,50 X 7,50</t>
  </si>
  <si>
    <t>MedTextil</t>
  </si>
  <si>
    <t>COMPRESSA ESTÉRIL – 11FIOS  7,50 X 7,50</t>
  </si>
  <si>
    <t>COMPRESSA ESTÉRIL – 13FIOS  7,50 X 7,50</t>
  </si>
  <si>
    <t>CAMPO OPERATÓRIO - LEVE</t>
  </si>
  <si>
    <t>25gr</t>
  </si>
  <si>
    <t>85 DUZIAS</t>
  </si>
  <si>
    <t>80 DUZIAS</t>
  </si>
  <si>
    <t>45 DUZIAS</t>
  </si>
  <si>
    <t>95 DUZIAS</t>
  </si>
  <si>
    <t>35 DUZIAS</t>
  </si>
  <si>
    <t>66 DUZIAS</t>
  </si>
  <si>
    <t>48 DUZIAS</t>
  </si>
  <si>
    <t xml:space="preserve"> 32 DUZIAS</t>
  </si>
  <si>
    <t>76 DUZIAS</t>
  </si>
  <si>
    <t>38 DUZIAS</t>
  </si>
  <si>
    <t>26 DUZIAS</t>
  </si>
  <si>
    <t>Cod</t>
  </si>
  <si>
    <t>Produto</t>
  </si>
  <si>
    <t>Apresentacao</t>
  </si>
  <si>
    <t>Fios</t>
  </si>
  <si>
    <t>Unid_Caixa</t>
  </si>
  <si>
    <t>Gramat</t>
  </si>
  <si>
    <t>TECIDO DE ALGODAO ALVEJADO 11 FIOS</t>
  </si>
  <si>
    <t xml:space="preserve">GAZE NAO ESTERIL 13 FIOS </t>
  </si>
  <si>
    <t>CAMPO OPERATORIO NAO ESTERIL 45X50 S/ RX - PCT 50 UND</t>
  </si>
  <si>
    <t>COMPRESSA DE GAZE ESTÉRIL 9FIOS - P10  MED MAIS</t>
  </si>
  <si>
    <t>COMPRESSA DE GAZE ESTÉRIL 11FIOS - P10 MED MAIS</t>
  </si>
  <si>
    <t>COMPRESSA DE GAZE ESTÉRIL 13FIOS - P10 MED MAIS</t>
  </si>
  <si>
    <t>COMPRESSA ESTÉRIL 13F - CONVIVA</t>
  </si>
  <si>
    <t xml:space="preserve">COMPR DE GAZE 9F PAC  - N ESTÉRIL </t>
  </si>
  <si>
    <t>COMPR DE GAZE 9F PAC  - N ESTÉRIL</t>
  </si>
  <si>
    <t xml:space="preserve">COMPR DE GAZE 9F PAC A - N ESTÉRIL    </t>
  </si>
  <si>
    <t>COMPR DE GAZE 9F PAC B - N ESTÉRIL</t>
  </si>
  <si>
    <t>COMPR DE GAZE 9F PAC C - N ESTÉRIL</t>
  </si>
  <si>
    <t>COMPR DE GAZE 9F PAC D - N ESTÉRIL</t>
  </si>
  <si>
    <t>COMPR DE GAZE 9F PAC E - N ESTÉRIL</t>
  </si>
  <si>
    <t xml:space="preserve">COMPR DE GAZE 9F PAC F - N ESTÉRIL </t>
  </si>
  <si>
    <t xml:space="preserve">COMPR DE GAZE 9F PAC G - N ESTÉRIL </t>
  </si>
  <si>
    <t xml:space="preserve">COMPR DE GAZE 9F PAC H - N ESTÉRIL </t>
  </si>
  <si>
    <t>COMPR DE GAZE 9F PAC I - N ESTÉRIL</t>
  </si>
  <si>
    <t>COMPR DE GAZE 9F PAC J - N ESTÉRIL</t>
  </si>
  <si>
    <t xml:space="preserve">COMPR DE GAZE 9F PAC L - N ESTÉRIL </t>
  </si>
  <si>
    <t xml:space="preserve">COMPRESSA DE G 9F N ESTÉRIL </t>
  </si>
  <si>
    <t xml:space="preserve">COMPR DE GAZE 9F N ESTÉRIL  PCT C/ 500                                            </t>
  </si>
  <si>
    <t xml:space="preserve">COMPRESSA DE G 11F N ESTÉRIL </t>
  </si>
  <si>
    <t>COMPRESSA DE G 13F M ESTÉRIL  PCT C/ 500</t>
  </si>
  <si>
    <t xml:space="preserve">COMPRESSA DE G 13F N ESTÉRIL </t>
  </si>
  <si>
    <t xml:space="preserve">COMPR DE GAZE 11F PAC  - N ESTÉRIL </t>
  </si>
  <si>
    <t>COMPR DE GAZE 13F PAC G - N ESTÉRIL</t>
  </si>
  <si>
    <t>COMPR DE GAZE 11F PAC  - N ESTÉRIL</t>
  </si>
  <si>
    <t>COMPR DE GAZE 11F PAC A - N ESTÉRIL</t>
  </si>
  <si>
    <t>COMPR DE GAZE 11F PAC B - N ESTÉRIL</t>
  </si>
  <si>
    <t xml:space="preserve">COMPR DE GAZE 11F PAC C - N ESTÉRIL </t>
  </si>
  <si>
    <t>COMPR DE GAZE 11F PAC D - N ESTÉRIL</t>
  </si>
  <si>
    <t>COMPR DE GAZE 11F PAC E - N ESTÉRIL</t>
  </si>
  <si>
    <t>COMPR DE GAZE 11F PAC F - N ESTÉRIL</t>
  </si>
  <si>
    <t>COMPR DE GAZE 11F PAC G - N ESTÉRIL</t>
  </si>
  <si>
    <t>COMPR DE GAZE 11F PAC H- N ESTÉRIL</t>
  </si>
  <si>
    <t>COMPR DE GAZE 11F PAC I - N ESTÉRIL</t>
  </si>
  <si>
    <t>COMPR DE GAZE 13F PAC  - N ESTÉRIL</t>
  </si>
  <si>
    <t xml:space="preserve">COMPR DE GAZE 13F PAC  - N ESTÉRIL </t>
  </si>
  <si>
    <t xml:space="preserve">GAZE HID CIRC N ESTERIL 9F  - </t>
  </si>
  <si>
    <t xml:space="preserve">GAZE HID CIRC N ESTERIL 9F - </t>
  </si>
  <si>
    <t xml:space="preserve">GAZE HID CIRC N ESTERIL 9F  A - </t>
  </si>
  <si>
    <t xml:space="preserve">GAZE HID CIRC N ESTERIL 9F  B - </t>
  </si>
  <si>
    <t xml:space="preserve">GAZE HID CIRC N ESTERIL 9F  C - </t>
  </si>
  <si>
    <t xml:space="preserve">GAZE HID CIRC N ESTERIL 9F  D - </t>
  </si>
  <si>
    <t xml:space="preserve">GAZE HID CIRC N ESTERIL 9F  E - </t>
  </si>
  <si>
    <t xml:space="preserve">GAZE HID CIRC N ESTERIL 9F  F - </t>
  </si>
  <si>
    <t xml:space="preserve">GAZE HID CIRC N ESTERIL 9F  G - </t>
  </si>
  <si>
    <t xml:space="preserve">GAZE HID CIRC N ESTERIL 9F  H - </t>
  </si>
  <si>
    <t xml:space="preserve">GAZE HID CIRC N ESTERIL 9F  I - </t>
  </si>
  <si>
    <t xml:space="preserve">GAZE HID CIRC N ESTERIL 9F  J - </t>
  </si>
  <si>
    <t xml:space="preserve">GAZE HID CIRC N ESTERIL 9F  L - </t>
  </si>
  <si>
    <t>GAZE HID CIRC N ESTERIL 9F  M -                                                     01 CX C/20</t>
  </si>
  <si>
    <t xml:space="preserve">GAZE HID CIRC N ESTERIL 9F  N - </t>
  </si>
  <si>
    <t xml:space="preserve">GAZE HID CIRC N ESTERIL 11F  - </t>
  </si>
  <si>
    <t xml:space="preserve">GAZE HID CIRC N  ESTERIL 11F  - </t>
  </si>
  <si>
    <t xml:space="preserve">GAZE HID CIRC N ESTERIL 11F  A - </t>
  </si>
  <si>
    <t xml:space="preserve">GAZE HID CIRC N ESTERIL 11F  B - </t>
  </si>
  <si>
    <t xml:space="preserve">GAZE HID CIRC N ESTERIL 11F  C - </t>
  </si>
  <si>
    <t xml:space="preserve">GAZE HID CIRC N ESTERIL 11F  D - </t>
  </si>
  <si>
    <t xml:space="preserve">GAZE HID CIRC N ESTERIL 11F  E - </t>
  </si>
  <si>
    <t xml:space="preserve">GAZE HID CIRC N ESTERIL 11F  F - </t>
  </si>
  <si>
    <t xml:space="preserve">GAZE HID CIRC N ESTERIL 11F  G - </t>
  </si>
  <si>
    <t xml:space="preserve">GAZE HID CIRC N ESTERIL 11F  H - </t>
  </si>
  <si>
    <t xml:space="preserve">GAZE HID CIRC N ESTERIL 11F  I - </t>
  </si>
  <si>
    <t xml:space="preserve">GAZE HID CIRC N ESTERIL 13F   - </t>
  </si>
  <si>
    <t xml:space="preserve">GAZE HID CIRC N ESTERIL 13F  - </t>
  </si>
  <si>
    <t xml:space="preserve">GAZE HID CIRC N ESTERIL 13F  A - </t>
  </si>
  <si>
    <t xml:space="preserve">GAZE HID CIRC N ESTERIL 13F  B - </t>
  </si>
  <si>
    <t xml:space="preserve">GAZE HID CIRC N ESTERIL 13F  C - </t>
  </si>
  <si>
    <t xml:space="preserve">GAZE HID CIRC N  ESTERIL 13F  D - </t>
  </si>
  <si>
    <t xml:space="preserve">GAZE HID CIRC N ESTERIL 13F  E - </t>
  </si>
  <si>
    <t xml:space="preserve">GAZE HID CIRC N ESTERIL 13F  F - </t>
  </si>
  <si>
    <t xml:space="preserve">GAZE HID CIRC N ESTERIL 13F G - </t>
  </si>
  <si>
    <t xml:space="preserve">GAZE HID CIRC N ESTERIL 13F  H - </t>
  </si>
  <si>
    <t xml:space="preserve">GAZE HID CIRC N ESTERIL 13F  I - </t>
  </si>
  <si>
    <t xml:space="preserve">GAZE HID CIRC N ESTERIL 13F  J - </t>
  </si>
  <si>
    <t xml:space="preserve">GAZE HID CIRC N ESTERIL 13F  L - </t>
  </si>
  <si>
    <t xml:space="preserve">GAZE HID CIRC N ESTERIL 13F  M - </t>
  </si>
  <si>
    <t xml:space="preserve">GAZE HID CIRC 9F N ESTERIL </t>
  </si>
  <si>
    <t xml:space="preserve">GAZE HID CIRC 11F N ESTERIL </t>
  </si>
  <si>
    <t>COMPRESSA DE GAZE ESTÉRIL 9FIOS - P10 ULTRA TEXTIL</t>
  </si>
  <si>
    <t>COMPRESSA DE GAZE 11F ESTERIL P10 ULTRA TEXTIL</t>
  </si>
  <si>
    <t>COMPRESSA DE GAZE ESTÉRIL 13FIOS - P10 ULTRA TEXTIL</t>
  </si>
  <si>
    <t>CAMPO OPERATÓRIO - LEVE - 45X50 PCT C/50 -  - Com Radiopaco - 15gr ULTRA TEXTIL</t>
  </si>
  <si>
    <t>CAMPO OPERATÓRIO - LEVE - 45X50 PCT C/50 -  - Com Radiopaco - 15gr MED MAIS</t>
  </si>
  <si>
    <t>CAMPO OP  ESTERIL A 25 X 28 PCT 2  0,13gr -  25 fios MED MAIS</t>
  </si>
  <si>
    <t>CAMPO OPERATÓRIO - LEVE - 45X50 PCT C/50 -  - Sem Radiopaco - 15gr ULTRA TEXTIL</t>
  </si>
  <si>
    <t>CAMPO OP  ESTERIL A 25 X 28 PCT 2  0,13gr -  25 fios ULTRA TEXTIL</t>
  </si>
  <si>
    <t>CAMPO OP  ESTERIL A 25 X 28 PCT 5  0,13gr -  25 fios ULTRA TEXTIL</t>
  </si>
  <si>
    <t>ATADURA DE CREPE - FARMA - 10CM x 1,20M - 13 FIOS - EXTRA - Medtextil</t>
  </si>
  <si>
    <t>ATADURA DE CREPE - FARMA - 10CM x 1,20M - 13 FIOS - EXTRA - Ultra Têxtil</t>
  </si>
  <si>
    <t>ATADURA DE CREPE - FARMA - 15CM x 1,20M - 13 FIOS - EXTRA - Ultra Têxtil</t>
  </si>
  <si>
    <t>ATADURA DE CREPE - FARMA - 20CM x 1,20M - 13 FIOS - EXTRA - Ultra Têxtil</t>
  </si>
  <si>
    <t>ATADURA DE CREPE - FARMA - 30CM x 1,20M - 13 FIOS - EXTRA - Ultra Têxtil</t>
  </si>
  <si>
    <t>ATADURA DE CREPE - FARMA - 10CM x 1,20M - 13 FIOS - COMBATE - Ultra Têxtil</t>
  </si>
  <si>
    <t>ATADURA DE CREPE - FARMA - 15CM x 1,20M - 13 FIOS - COMBATE - Ultra Têxtil</t>
  </si>
  <si>
    <t>ATADURA DE CREPE - FARMA - 20CM x 1,20M - 13 FIOS - COMBATE - Ultra Têxtil</t>
  </si>
  <si>
    <t>ATADURA DE CREPE - FARMA - 30CM x 1,20M - 13 FIOS - COMBATE - Ultra Têxtil</t>
  </si>
  <si>
    <t>ATADURA DE CREPE - FARMA - 10CM x 1,80M - 13 FIOS - EXTRA - Ultra Têxtil</t>
  </si>
  <si>
    <t>ATADURA DE CREPE - FARMA - 15CM x 1,80M - 13 FIOS - EXTRA - Ultra Têxtil</t>
  </si>
  <si>
    <t>ATADURA DE CREPE - FARMA - 20CM x 1,80M - 13 FIOS - EXTRA - Ultra Têxtil</t>
  </si>
  <si>
    <t>ATADURA DE CREPE - FARMA - 30CM x 1,80M - 13 FIOS - EXTRA - Ultra Têxtil</t>
  </si>
  <si>
    <t>ATADURA DE CREPE - FARMA - 10CM x 1,80M - 13 FIOS - COMBATE - Ultra Têxtil</t>
  </si>
  <si>
    <t>ATADURA DE CREPE - FARMA - 15CM x 1,80M - 13 FIOS - COMBATE - Ultra Têxtil</t>
  </si>
  <si>
    <t>ATADURA DE CREPE - FARMA - 20CM x 1,80M - 13 FIOS - COMBATE - Ultra Têxtil</t>
  </si>
  <si>
    <t>ATADURA DE CREPE - FARMA - 30CM x 1,80M - 13 FIOS - COMBATE - Ultra Têxtil</t>
  </si>
  <si>
    <t xml:space="preserve">GAZE HID CIRC 13F N ESTER </t>
  </si>
  <si>
    <t>COMPRESSA DE GAZE ESTÉRIL 9FIOS - P10  MEDTEXTIL</t>
  </si>
  <si>
    <t>COMPRESSA DE GAZE ESTÉRIL 11FIOS - P10  MEDTEXTIL</t>
  </si>
  <si>
    <t>COMPRESSA DE GAZE ESTÉRIL 13FIOS - P10 MEDTEXTIL</t>
  </si>
  <si>
    <t xml:space="preserve">COMPR DE GAZE 13F PAC A - N ESTÉRIL   </t>
  </si>
  <si>
    <t>COMPR DE GAZE 13F PAC A - N ESTÉRIL</t>
  </si>
  <si>
    <t>COMPR DE GAZE 13F PAC B - N ESTÉRIL</t>
  </si>
  <si>
    <t>COMPR DE GAZE 13F PAC C - N ESTÉRIL</t>
  </si>
  <si>
    <t>COMPR DE GAZE 13F PAC D - N ESTÉRIL</t>
  </si>
  <si>
    <t xml:space="preserve">COMPR DE GAZE 13F PAC D - N ESTÉRIL                                  </t>
  </si>
  <si>
    <t>COMPR DE GAZE 13F PAC E - N ESTÉRIL</t>
  </si>
  <si>
    <t xml:space="preserve">COMPR DE GAZE 13F PAC F - N ESTÉRIL </t>
  </si>
  <si>
    <t>COMPR DE GAZE 13F PAC H - N ESTÉRIL</t>
  </si>
  <si>
    <t>COMPR DE GAZE 13F PAC I - N ESTÉRIL</t>
  </si>
  <si>
    <t>COMPR DE GAZE 13F PAC J - N ESTÉRIL</t>
  </si>
  <si>
    <t xml:space="preserve">COMPR DE GAZE 13F PAC L - N ESTÉRIL </t>
  </si>
  <si>
    <t>COMPRESSA DE G 11F N ESTÉRIL  PCT C/ 500</t>
  </si>
  <si>
    <t>ATADURA DE CREPE - HOSPITALAR - 10CM x 1,20M - 13 FIOS - COMBATE - Ultra Têxtil</t>
  </si>
  <si>
    <t>ATADURA DE CREPE - HOSPITALAR - 10CM x 1,20M - 13 FIOS - EXTRA - Ultra Têxtil</t>
  </si>
  <si>
    <t>ATADURA DE CREPE - HOSPITALAR - 10CM x 1,80M - 13 FIOS - COMBATE - Ultra Têxtil</t>
  </si>
  <si>
    <t>ATADURA DE CREPE - HOSPITALAR - 10CM x 1,80M - 13 FIOS - EXTRA - Ultra Têxtil</t>
  </si>
  <si>
    <t>ATADURA DE CREPE - HOSPITALAR - 15CM x 1,20M - 13 FIOS - COMBATE - Ultra Têxtil</t>
  </si>
  <si>
    <t>ATADURA DE CREPE - HOSPITALAR - 15CM x 1,20M - 13 FIOS - EXTRA - Ultra Têxtil</t>
  </si>
  <si>
    <t>ATADURA DE CREPE - HOSPITALAR - 15CM x 1,80M - 13 FIOS - COMBATE - Ultra Têxtil</t>
  </si>
  <si>
    <t>ATADURA DE CREPE - HOSPITALAR - 15CM x 1,80M - 13 FIOS - EXTRA - Ultra Têxtil</t>
  </si>
  <si>
    <t>ATADURA DE CREPE - HOSPITALAR - 20CM x 1,20M - 13 FIOS - COMBATE - Ultra Têxtil</t>
  </si>
  <si>
    <t>ATADURA DE CREPE - HOSPITALAR - 20CM x 1,20M - 13 FIOS - EXTRA - Ultra Têxtil</t>
  </si>
  <si>
    <t>ATADURA DE CREPE - HOSPITALAR - 20CM x 1,80M - 13 FIOS - COMBATE - Ultra Têxtil</t>
  </si>
  <si>
    <t>ATADURA DE CREPE - HOSPITALAR - 20CM x 1,80M - 13 FIOS - EXTRA - Ultra Têxtil</t>
  </si>
  <si>
    <t>ATADURA DE CREPE - HOSPITALAR - 30CM x 1,20M - 13 FIOS - COMBATE - Ultra Têxtil</t>
  </si>
  <si>
    <t>ATADURA DE CREPE - HOSPITALAR - 30CM x 1,20M - 13 FIOS - EXTRA - Ultra Têxtil</t>
  </si>
  <si>
    <t>ATADURA DE CREPE - HOSPITALAR - 30CM x 1,80M - 13 FIOS - COMBATE - Ultra Têxtil</t>
  </si>
  <si>
    <t>ATADURA DE CREPE - HOSPITALAR - 30CM x 1,80M - 13 FIOS - EXTRA - Ultra Têxtil</t>
  </si>
  <si>
    <t>CAMPO OPERATÓRIO  - 30X35 PCT C/5 UND -  - Com Radiopaco - Estéril ULTRA TEXTIL</t>
  </si>
  <si>
    <t>ATADURA DE CREPE - HOSPITALAR - 12CM x 1,80M - 13 FIOS - COMBATE - Ultra Têxtil</t>
  </si>
  <si>
    <t>ATADURA DE CREPE - HOSPITALAR - 12CM x 1,80M - 13 FIOS - EXTRA - Ultra Têxtil</t>
  </si>
  <si>
    <t>ATADURA DE CREPE - HOSPITALAR - 12CM x 1,20M - 13 FIOS - COMBATE - Ultra Têxtil</t>
  </si>
  <si>
    <t>ATADURA DE CREPE - HOSPITALAR - 12CM x 1,20M - 13 FIOS - EXTRA - Ultra Têxtil</t>
  </si>
  <si>
    <t>ATADURA DE CREPE - FARMA - 12CM x 1,80M - 13 FIOS - COMBATE - Ultra Têxtil</t>
  </si>
  <si>
    <t>ATADURA DE CREPE - FARMA - 12CM x 1,80M - 13 FIOS - EXTRA - Ultra Têxtil</t>
  </si>
  <si>
    <t>ATADURA DE CREPE - FARMA - 12CM x 1,20M - 13 FIOS - COMBATE - Ultra Têxtil</t>
  </si>
  <si>
    <t>ATADURA DE CREPE - FARMA - 12CM x 1,20M - 13 FIOS - EXTRA - Ultra Têxtil</t>
  </si>
  <si>
    <t>MEDLIFE 13 FIOS</t>
  </si>
  <si>
    <t>BC MED 13 FIOS</t>
  </si>
  <si>
    <t>CAMPO OPERATÓRIO - LEVE - 45X50 PCT C/50 -  - SEM Radiopaco - 15gr ULTRA TEXTIL</t>
  </si>
  <si>
    <t>CAMPO OPERATÓRIO - LEVE - 45X50 PCT C/50 -  - Com Radiopaco - CAMPO PESADO MEDTEXTIL</t>
  </si>
  <si>
    <t>CAMPO OP  ESTERIL A 25 X 28 PCT 5  0,13gr -  25 fios MED MAIS</t>
  </si>
  <si>
    <t>CAMPO OP  ESTERIL A 25 X 28 PCT 2  0,13gr -  25 fios MEDTEXTIL</t>
  </si>
  <si>
    <t xml:space="preserve">CAMPO OP  ESTERIL A 25 X 28 PCT 5  0,13gr -  25 fios MEDTEXTIL </t>
  </si>
  <si>
    <t xml:space="preserve">COMPRESSA DE G 13F  ESTÉRIL  </t>
  </si>
  <si>
    <t>CAMPO 25 G 45X50</t>
  </si>
  <si>
    <t>CAMPO 21 G 45X50</t>
  </si>
  <si>
    <t>MED MAIS</t>
  </si>
  <si>
    <t>0,70gr</t>
  </si>
  <si>
    <t>0,80gr</t>
  </si>
  <si>
    <t>0,90gr</t>
  </si>
  <si>
    <t>110gr</t>
  </si>
  <si>
    <t>120gr</t>
  </si>
  <si>
    <t>140gr</t>
  </si>
  <si>
    <t>170gr</t>
  </si>
  <si>
    <t>190gr</t>
  </si>
  <si>
    <t>200gr</t>
  </si>
  <si>
    <t>ULTRA TÊXTIL</t>
  </si>
  <si>
    <t>220gr</t>
  </si>
  <si>
    <t>230gr</t>
  </si>
  <si>
    <t>240gr</t>
  </si>
  <si>
    <t>260gr</t>
  </si>
  <si>
    <t>280gr</t>
  </si>
  <si>
    <t>310gr</t>
  </si>
  <si>
    <t>MEDTEXTIL</t>
  </si>
  <si>
    <t>330gr</t>
  </si>
  <si>
    <t>155gr</t>
  </si>
  <si>
    <t>100gr</t>
  </si>
  <si>
    <t>135gr</t>
  </si>
  <si>
    <t>290gr</t>
  </si>
  <si>
    <t>315gr</t>
  </si>
  <si>
    <t>350gr</t>
  </si>
  <si>
    <t>360gr</t>
  </si>
  <si>
    <t>UTRA TEXTIL</t>
  </si>
  <si>
    <t>390gr</t>
  </si>
  <si>
    <t>400gr</t>
  </si>
  <si>
    <t>420gr</t>
  </si>
  <si>
    <t>MEDMAIS</t>
  </si>
  <si>
    <t>430gr</t>
  </si>
  <si>
    <t>440gr</t>
  </si>
  <si>
    <t>450gr</t>
  </si>
  <si>
    <t>165gr</t>
  </si>
  <si>
    <t>PRETA</t>
  </si>
  <si>
    <t>BC MED</t>
  </si>
  <si>
    <t>COD</t>
  </si>
  <si>
    <t>DESCRIÇÃO</t>
  </si>
  <si>
    <t>PESO</t>
  </si>
  <si>
    <t>TIPO</t>
  </si>
  <si>
    <t>VOL.</t>
  </si>
  <si>
    <t>UNID.</t>
  </si>
  <si>
    <t>TOTAL</t>
  </si>
  <si>
    <t>CONVIVA</t>
  </si>
  <si>
    <t>255gr</t>
  </si>
  <si>
    <t>tem 01 cx</t>
  </si>
  <si>
    <t>1 CX C/50</t>
  </si>
  <si>
    <t>MED LIFE</t>
  </si>
  <si>
    <t>PRECO 3%</t>
  </si>
  <si>
    <t>PREÇO 4%</t>
  </si>
  <si>
    <t>,</t>
  </si>
  <si>
    <t>Preco 3%</t>
  </si>
  <si>
    <t>Preço 4%</t>
  </si>
  <si>
    <t>Região01 3%</t>
  </si>
  <si>
    <t>Região01 4%</t>
  </si>
  <si>
    <t>Região02 3%</t>
  </si>
  <si>
    <t>Região02 4%</t>
  </si>
  <si>
    <t>Região03 3%</t>
  </si>
  <si>
    <t>Região03 4%</t>
  </si>
  <si>
    <t>Região04 3%</t>
  </si>
  <si>
    <t>Região04 4%</t>
  </si>
  <si>
    <t>REGIÃO01-3%</t>
  </si>
  <si>
    <t>REGIÃO02 - 3%</t>
  </si>
  <si>
    <t>REGIÃO02-4%</t>
  </si>
  <si>
    <t>REGIÃO03-3%</t>
  </si>
  <si>
    <t>REGIÃO01-4%</t>
  </si>
  <si>
    <t>REGIÃO03-4%</t>
  </si>
  <si>
    <t>REGIÃO04-3%</t>
  </si>
  <si>
    <t>REGIÃO04-4%</t>
  </si>
  <si>
    <t>CAMPO C / 5</t>
  </si>
  <si>
    <t>CAMPO OPERATORIO NAO ESTERIL 45X50 C/ RX - PCT 50 UND</t>
  </si>
  <si>
    <t>CAMPO 45X50</t>
  </si>
  <si>
    <t>Ultra textil</t>
  </si>
  <si>
    <t>CAMPO OPERATORIO NÃO ESTERIL 45X50 - C/ RX - PCT 50UND</t>
  </si>
  <si>
    <t>COMPRESSA NÃO ESTÉRIL - 9 FIOS</t>
  </si>
  <si>
    <t>ULTRA TEXTIL</t>
  </si>
  <si>
    <t xml:space="preserve">GAZE NÃO ESTERIL 09 FIOS </t>
  </si>
  <si>
    <t>COMPRESSA NÃO ESTÉRIL - 11 FIOS</t>
  </si>
  <si>
    <t>GAZE NÃO ESTERIL 11 FIOS</t>
  </si>
  <si>
    <t>COMPRESSA NÃO ESTÉRIL - 09 FIOS</t>
  </si>
  <si>
    <t>COMPRESSA 09 FIOS</t>
  </si>
  <si>
    <t>GAZE NÃO ESTERIL - 09 FIOS</t>
  </si>
  <si>
    <t>COMPRESSA NÃO ESTERIL - 09 FIOS</t>
  </si>
  <si>
    <t>ULTRATEXTIL</t>
  </si>
  <si>
    <t>GAZE NÃO ESTÉRIL - 09 FIOS</t>
  </si>
  <si>
    <t>COMPRESSA NÃO ESTERIL -  13 FIOS</t>
  </si>
  <si>
    <t>GAZE NÃO ESTERIL - 13 FIOS</t>
  </si>
  <si>
    <t>COMPRESSA NÃO ESTÉRIL - 13 FIOS</t>
  </si>
  <si>
    <t>GAZE NÃO ESTÉRIL - 13 FIOS</t>
  </si>
  <si>
    <t>GAZE EM ROLO - 11 FIOS</t>
  </si>
  <si>
    <t>GAZE CIRCULAR NAO ESTERIL 11 FIOS</t>
  </si>
  <si>
    <t>GAZE EM ROLO - 13 FIOS</t>
  </si>
  <si>
    <t>GAZE CIRCULAR - 13 FIOS</t>
  </si>
  <si>
    <t>75/30</t>
  </si>
  <si>
    <t>60/22</t>
  </si>
  <si>
    <t>40/16</t>
  </si>
  <si>
    <t>90/40</t>
  </si>
  <si>
    <t>100/44</t>
  </si>
  <si>
    <t>50/20</t>
  </si>
  <si>
    <t>70/26</t>
  </si>
  <si>
    <t>90/36</t>
  </si>
  <si>
    <t>110/44</t>
  </si>
  <si>
    <t>110/50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</si>
</sst>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gramas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164" fontId="0" fillId="0" borderId="0" xfId="0" applyNumberFormat="1"/>
    <xf numFmtId="44" fontId="0" fillId="0" borderId="0" xfId="1" applyFont="1"/>
    <xf numFmtId="1" fontId="0" fillId="0" borderId="0" xfId="0" applyNumberFormat="1" applyAlignment="1">
      <alignment horizontal="left"/>
    </xf>
    <xf numFmtId="0" fontId="0" fillId="0" borderId="0" xfId="0" applyFill="1"/>
    <xf numFmtId="164" fontId="0" fillId="0" borderId="0" xfId="0" applyNumberFormat="1" applyFill="1"/>
    <xf numFmtId="0" fontId="0" fillId="0" borderId="0" xfId="0" applyNumberFormat="1"/>
    <xf numFmtId="0" fontId="0" fillId="0" borderId="0" xfId="0" applyFont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quotePrefix="1" applyFont="1" applyAlignment="1">
      <alignment horizontal="center"/>
    </xf>
    <xf numFmtId="3" fontId="4" fillId="0" borderId="0" xfId="0" applyNumberFormat="1" applyFont="1"/>
    <xf numFmtId="0" fontId="0" fillId="0" borderId="0" xfId="0" applyNumberFormat="1" applyBorder="1"/>
    <xf numFmtId="164" fontId="0" fillId="0" borderId="0" xfId="0" applyNumberFormat="1" applyBorder="1"/>
    <xf numFmtId="0" fontId="0" fillId="0" borderId="0" xfId="0" applyBorder="1"/>
    <xf numFmtId="44" fontId="6" fillId="0" borderId="0" xfId="1" applyFont="1" applyBorder="1" applyAlignment="1">
      <alignment horizontal="center" vertical="center"/>
    </xf>
    <xf numFmtId="44" fontId="0" fillId="0" borderId="2" xfId="1" applyFont="1" applyBorder="1"/>
    <xf numFmtId="44" fontId="0" fillId="0" borderId="3" xfId="1" applyFont="1" applyBorder="1"/>
    <xf numFmtId="44" fontId="6" fillId="0" borderId="0" xfId="1" applyFont="1" applyBorder="1" applyAlignment="1">
      <alignment horizontal="center" vertical="center" wrapText="1"/>
    </xf>
    <xf numFmtId="44" fontId="7" fillId="0" borderId="0" xfId="1" applyFont="1" applyFill="1" applyBorder="1" applyAlignment="1">
      <alignment horizontal="center" vertical="center"/>
    </xf>
    <xf numFmtId="44" fontId="0" fillId="0" borderId="7" xfId="1" applyFont="1" applyBorder="1"/>
    <xf numFmtId="0" fontId="0" fillId="0" borderId="2" xfId="0" applyBorder="1"/>
    <xf numFmtId="44" fontId="0" fillId="0" borderId="4" xfId="1" applyFont="1" applyBorder="1"/>
    <xf numFmtId="44" fontId="0" fillId="0" borderId="6" xfId="1" applyFont="1" applyBorder="1"/>
    <xf numFmtId="44" fontId="0" fillId="0" borderId="5" xfId="1" applyFont="1" applyBorder="1"/>
    <xf numFmtId="44" fontId="6" fillId="0" borderId="0" xfId="1" applyFont="1" applyFill="1" applyBorder="1" applyAlignment="1">
      <alignment horizontal="center" vertical="center"/>
    </xf>
    <xf numFmtId="44" fontId="0" fillId="0" borderId="8" xfId="1" applyFont="1" applyBorder="1"/>
    <xf numFmtId="44" fontId="0" fillId="0" borderId="0" xfId="0" applyNumberFormat="1"/>
    <xf numFmtId="8" fontId="0" fillId="0" borderId="0" xfId="0" applyNumberFormat="1"/>
    <xf numFmtId="0" fontId="0" fillId="0" borderId="0" xfId="0" applyAlignment="1">
      <alignment horizontal="right"/>
    </xf>
    <xf numFmtId="8" fontId="0" fillId="3" borderId="0" xfId="0" applyNumberFormat="1" applyFill="1"/>
    <xf numFmtId="8" fontId="0" fillId="4" borderId="0" xfId="0" applyNumberFormat="1" applyFill="1"/>
    <xf numFmtId="8" fontId="0" fillId="5" borderId="0" xfId="0" applyNumberFormat="1" applyFill="1"/>
    <xf numFmtId="8" fontId="0" fillId="6" borderId="0" xfId="0" applyNumberFormat="1" applyFill="1"/>
    <xf numFmtId="8" fontId="8" fillId="0" borderId="0" xfId="0" applyNumberFormat="1" applyFont="1" applyBorder="1" applyAlignment="1">
      <alignment horizontal="right" vertical="center"/>
    </xf>
    <xf numFmtId="44" fontId="8" fillId="0" borderId="0" xfId="1" applyFont="1" applyFill="1" applyBorder="1" applyAlignment="1">
      <alignment horizontal="right" vertical="center"/>
    </xf>
    <xf numFmtId="8" fontId="0" fillId="0" borderId="0" xfId="0" applyNumberFormat="1" applyFont="1" applyBorder="1" applyAlignment="1">
      <alignment horizontal="right" vertical="center" wrapText="1"/>
    </xf>
    <xf numFmtId="44" fontId="0" fillId="0" borderId="0" xfId="1" applyFont="1" applyFill="1" applyBorder="1" applyAlignment="1">
      <alignment horizontal="right" vertical="center"/>
    </xf>
    <xf numFmtId="8" fontId="0" fillId="0" borderId="0" xfId="0" applyNumberFormat="1" applyFont="1" applyBorder="1" applyAlignment="1">
      <alignment horizontal="right" vertical="center"/>
    </xf>
    <xf numFmtId="44" fontId="0" fillId="7" borderId="0" xfId="1" applyFont="1" applyFill="1"/>
    <xf numFmtId="44" fontId="0" fillId="7" borderId="0" xfId="0" applyNumberFormat="1" applyFill="1"/>
    <xf numFmtId="44" fontId="6" fillId="7" borderId="0" xfId="1" applyFont="1" applyFill="1" applyBorder="1" applyAlignment="1">
      <alignment horizontal="center" vertical="center"/>
    </xf>
    <xf numFmtId="44" fontId="0" fillId="8" borderId="0" xfId="0" applyNumberFormat="1" applyFill="1"/>
    <xf numFmtId="44" fontId="0" fillId="9" borderId="0" xfId="0" applyNumberFormat="1" applyFill="1"/>
    <xf numFmtId="44" fontId="0" fillId="10" borderId="0" xfId="0" applyNumberFormat="1" applyFill="1"/>
    <xf numFmtId="44" fontId="0" fillId="11" borderId="0" xfId="0" applyNumberFormat="1" applyFill="1"/>
  </cellXfs>
  <cellStyles count="2">
    <cellStyle name="Moeda" xfId="1" builtinId="4"/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12" formatCode="&quot;R$&quot;\ #,##0.00;[Red]\-&quot;R$&quot;\ #,##0.00"/>
      <fill>
        <patternFill patternType="solid">
          <fgColor indexed="64"/>
          <bgColor theme="2"/>
        </patternFill>
      </fill>
    </dxf>
    <dxf>
      <numFmt numFmtId="12" formatCode="&quot;R$&quot;\ #,##0.00;[Red]\-&quot;R$&quot;\ #,##0.00"/>
      <fill>
        <patternFill patternType="solid">
          <fgColor indexed="64"/>
          <bgColor theme="2"/>
        </patternFill>
      </fill>
    </dxf>
    <dxf>
      <numFmt numFmtId="12" formatCode="&quot;R$&quot;\ #,##0.00;[Red]\-&quot;R$&quot;\ #,##0.00"/>
      <fill>
        <patternFill patternType="solid">
          <fgColor indexed="64"/>
          <bgColor theme="7" tint="0.79998168889431442"/>
        </patternFill>
      </fill>
    </dxf>
    <dxf>
      <numFmt numFmtId="12" formatCode="&quot;R$&quot;\ #,##0.00;[Red]\-&quot;R$&quot;\ #,##0.00"/>
      <fill>
        <patternFill patternType="solid">
          <fgColor indexed="64"/>
          <bgColor theme="7" tint="0.79998168889431442"/>
        </patternFill>
      </fill>
    </dxf>
    <dxf>
      <numFmt numFmtId="12" formatCode="&quot;R$&quot;\ #,##0.00;[Red]\-&quot;R$&quot;\ #,##0.00"/>
      <fill>
        <patternFill patternType="solid">
          <fgColor indexed="64"/>
          <bgColor theme="8" tint="0.79998168889431442"/>
        </patternFill>
      </fill>
    </dxf>
    <dxf>
      <numFmt numFmtId="12" formatCode="&quot;R$&quot;\ #,##0.00;[Red]\-&quot;R$&quot;\ #,##0.00"/>
      <fill>
        <patternFill patternType="solid">
          <fgColor indexed="64"/>
          <bgColor theme="8" tint="0.79998168889431442"/>
        </patternFill>
      </fill>
    </dxf>
    <dxf>
      <numFmt numFmtId="12" formatCode="&quot;R$&quot;\ #,##0.00;[Red]\-&quot;R$&quot;\ #,##0.00"/>
      <fill>
        <patternFill patternType="solid">
          <fgColor indexed="64"/>
          <bgColor theme="9" tint="0.79998168889431442"/>
        </patternFill>
      </fill>
    </dxf>
    <dxf>
      <numFmt numFmtId="12" formatCode="&quot;R$&quot;\ #,##0.00;[Red]\-&quot;R$&quot;\ #,##0.00"/>
      <fill>
        <patternFill patternType="solid">
          <fgColor indexed="64"/>
          <bgColor theme="9" tint="0.79998168889431442"/>
        </patternFill>
      </fill>
    </dxf>
    <dxf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R$&quot;\ #,##0.00;[Red]\-&quot;R$&quot;\ #,##0.00"/>
      <alignment horizontal="right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gramas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229\adm%20ultra%20textil\ESTOQUE.xlsx" TargetMode="External"/><Relationship Id="rId1" Type="http://schemas.openxmlformats.org/officeDocument/2006/relationships/externalLinkPath" Target="file:///\\192.168.0.229\adm%20ultra%20textil\ESTOQU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TOQUE CONSOLIDADO"/>
      <sheetName val="Plan1"/>
      <sheetName val="Plan2"/>
      <sheetName val="ESTOQUE"/>
    </sheetNames>
    <sheetDataSet>
      <sheetData sheetId="0"/>
      <sheetData sheetId="1"/>
      <sheetData sheetId="2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0421B2D-B31B-4527-AFD6-AE2D0A530A0F}" autoFormatId="16" applyNumberFormats="0" applyBorderFormats="0" applyFontFormats="0" applyPatternFormats="0" applyAlignmentFormats="0" applyWidthHeightFormats="0">
  <queryTableRefresh nextId="23" unboundColumnsRight="10">
    <queryTableFields count="17">
      <queryTableField id="2" name="Cód." tableColumnId="2"/>
      <queryTableField id="1" name="Grupo" tableColumnId="1"/>
      <queryTableField id="3" name="Descrição" tableColumnId="3"/>
      <queryTableField id="4" name="Linha" tableColumnId="4"/>
      <queryTableField id="5" name="Peso.2" tableColumnId="5"/>
      <queryTableField id="6" name="Cx Embarque" tableColumnId="6"/>
      <queryTableField id="7" name="Coluna1" tableColumnId="7"/>
      <queryTableField id="9" dataBound="0" tableColumnId="9"/>
      <queryTableField id="14" dataBound="0" tableColumnId="8"/>
      <queryTableField id="15" dataBound="0" tableColumnId="10"/>
      <queryTableField id="16" dataBound="0" tableColumnId="11"/>
      <queryTableField id="17" dataBound="0" tableColumnId="12"/>
      <queryTableField id="18" dataBound="0" tableColumnId="13"/>
      <queryTableField id="19" dataBound="0" tableColumnId="14"/>
      <queryTableField id="20" dataBound="0" tableColumnId="15"/>
      <queryTableField id="21" dataBound="0" tableColumnId="16"/>
      <queryTableField id="22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99586E-A189-44D8-9C58-8F69F4EC7CA4}" name="Tabela14" displayName="Tabela14" ref="A1:Q430" tableType="queryTable" totalsRowShown="0">
  <autoFilter ref="A1:Q430" xr:uid="{5499586E-A189-44D8-9C58-8F69F4EC7CA4}"/>
  <tableColumns count="17">
    <tableColumn id="2" xr3:uid="{3202AFED-4A11-4AD5-8FCF-B57F6545F53A}" uniqueName="2" name="ID_COD" queryTableFieldId="2" dataDxfId="34"/>
    <tableColumn id="1" xr3:uid="{5387F357-AA02-4B91-B30F-AB45B122F19D}" uniqueName="1" name="Grupo" queryTableFieldId="1" dataDxfId="33"/>
    <tableColumn id="3" xr3:uid="{AF8B37DC-8D9E-415B-8540-844DCFD3C2C2}" uniqueName="3" name="Descrição" queryTableFieldId="3" dataDxfId="32"/>
    <tableColumn id="4" xr3:uid="{15BCD1FE-6E96-4337-BF2C-1D0977BEE2EA}" uniqueName="4" name="Linha" queryTableFieldId="4" dataDxfId="31"/>
    <tableColumn id="5" xr3:uid="{5AEAA593-AC57-42D0-80C6-A7ADC3170E25}" uniqueName="5" name="Gramatura" queryTableFieldId="5" dataDxfId="30"/>
    <tableColumn id="6" xr3:uid="{F34DF2E2-4CF9-47F8-995C-D81C98BE9A01}" uniqueName="6" name="CX_EMB" queryTableFieldId="6"/>
    <tableColumn id="7" xr3:uid="{A488A8F9-38D4-4F27-9DEA-CC2F81D9C55C}" uniqueName="7" name="DESCRICAONF" queryTableFieldId="7"/>
    <tableColumn id="9" xr3:uid="{079BA53C-EB2B-4DA2-B65C-026F685E0107}" uniqueName="9" name="PRECO 3%" queryTableFieldId="9" dataCellStyle="Moeda"/>
    <tableColumn id="8" xr3:uid="{29DA0A94-68AA-467F-9B74-851FD260AFF1}" uniqueName="8" name="PREÇO 4%" queryTableFieldId="14" dataDxfId="29">
      <calculatedColumnFormula>Tabela14[[#This Row],[PRECO 3%]]+(Tabela14[[#This Row],[PRECO 3%]]*0.06)</calculatedColumnFormula>
    </tableColumn>
    <tableColumn id="10" xr3:uid="{28834F84-40C7-4E96-A9B2-AB27C96A58CC}" uniqueName="10" name="REGIÃO01-3%" queryTableFieldId="15" dataDxfId="28">
      <calculatedColumnFormula>(Tabela14[[#This Row],[PRECO 3%]]*0.1)+Tabela14[[#This Row],[PRECO 3%]]</calculatedColumnFormula>
    </tableColumn>
    <tableColumn id="11" xr3:uid="{15B2A346-72E2-4CD7-8B03-22CE10355B4C}" uniqueName="11" name="REGIÃO01-4%" queryTableFieldId="16" dataDxfId="27">
      <calculatedColumnFormula>(Tabela14[[#This Row],[REGIÃO01-3%]]*0.06)+Tabela14[[#This Row],[REGIÃO01-3%]]</calculatedColumnFormula>
    </tableColumn>
    <tableColumn id="12" xr3:uid="{B0DF9DB2-8D14-4A2A-957A-9AA656BFD452}" uniqueName="12" name="REGIÃO02 - 3%" queryTableFieldId="17" dataDxfId="26">
      <calculatedColumnFormula>(Tabela14[[#This Row],[PRECO 3%]]*0.05)+Tabela14[[#This Row],[PRECO 3%]]</calculatedColumnFormula>
    </tableColumn>
    <tableColumn id="13" xr3:uid="{9DAF51A4-2755-445A-A93A-92BB55EB623F}" uniqueName="13" name="REGIÃO02-4%" queryTableFieldId="18" dataDxfId="25">
      <calculatedColumnFormula>(Tabela14[[#This Row],[REGIÃO02 - 3%]]*0.06)+Tabela14[[#This Row],[REGIÃO02 - 3%]]</calculatedColumnFormula>
    </tableColumn>
    <tableColumn id="14" xr3:uid="{E6B414F3-7813-4295-B326-1CD513B25221}" uniqueName="14" name="REGIÃO03-3%" queryTableFieldId="19" dataDxfId="24">
      <calculatedColumnFormula>(Tabela14[[#This Row],[PRECO 3%]]*0.08)+Tabela14[[#This Row],[PRECO 3%]]</calculatedColumnFormula>
    </tableColumn>
    <tableColumn id="15" xr3:uid="{2D742EA7-1186-41C1-898A-4613C054CFEC}" uniqueName="15" name="REGIÃO03-4%" queryTableFieldId="20" dataDxfId="23">
      <calculatedColumnFormula>(Tabela14[[#This Row],[REGIÃO03-3%]]*0.06)+Tabela14[[#This Row],[REGIÃO03-3%]]</calculatedColumnFormula>
    </tableColumn>
    <tableColumn id="16" xr3:uid="{E68FFD36-3F8B-46E9-86D5-63BDCD1EC329}" uniqueName="16" name="REGIÃO04-3%" queryTableFieldId="21" dataDxfId="22">
      <calculatedColumnFormula>(Tabela14[[#This Row],[PRECO 3%]]*0.06)+Tabela14[[#This Row],[PRECO 3%]]</calculatedColumnFormula>
    </tableColumn>
    <tableColumn id="17" xr3:uid="{E1A6C63D-CA7B-4FEC-9080-CB50ACB9509E}" uniqueName="17" name="REGIÃO04-4%" queryTableFieldId="22" dataDxfId="21">
      <calculatedColumnFormula>(Tabela14[[#This Row],[REGIÃO04-3%]]*0.06)+Tabela14[[#This Row],[REGIÃO04-3%]]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DBEE36-9DBA-4905-80A4-0323F2DCF478}" name="Tabela1" displayName="Tabela1" ref="A1:Q88" totalsRowShown="0">
  <autoFilter ref="A1:Q88" xr:uid="{27DBEE36-9DBA-4905-80A4-0323F2DCF478}"/>
  <sortState xmlns:xlrd2="http://schemas.microsoft.com/office/spreadsheetml/2017/richdata2" ref="A2:H88">
    <sortCondition ref="A1:A88"/>
  </sortState>
  <tableColumns count="17">
    <tableColumn id="1" xr3:uid="{A94A85EC-B805-4EC8-9C21-A01302433252}" name="Cod"/>
    <tableColumn id="2" xr3:uid="{87878281-AC86-489D-A241-9AD749D55E55}" name="Produto"/>
    <tableColumn id="3" xr3:uid="{18F95C83-2188-4A1E-A0B8-BFAA71296403}" name="Apresentacao"/>
    <tableColumn id="4" xr3:uid="{F983C176-9E78-49AC-82B3-8AC9929A1254}" name="Fios"/>
    <tableColumn id="5" xr3:uid="{03935235-5821-4D37-9442-36D791826C89}" name="Unid_Caixa"/>
    <tableColumn id="6" xr3:uid="{D35B3B9C-9008-4300-92B8-8167B4A2CCB6}" name="Linha"/>
    <tableColumn id="7" xr3:uid="{AC4BD377-A729-4B2F-8A6E-77B18350EAA3}" name="Gramat"/>
    <tableColumn id="8" xr3:uid="{774C2D1E-0273-4A4C-B69B-084FE44C378A}" name="Preco 3%" dataDxfId="20"/>
    <tableColumn id="9" xr3:uid="{EB4AE137-DD1A-40C4-9A79-97BAB6275921}" name="Preço 4%" dataDxfId="19">
      <calculatedColumnFormula>Tabela1[[#This Row],[Preco 3%]]+(Tabela1[[#This Row],[Preco 3%]]*0.06)</calculatedColumnFormula>
    </tableColumn>
    <tableColumn id="10" xr3:uid="{B5A4276C-13A3-4F40-8139-DFD5C09D65C4}" name="Região01 3%" dataDxfId="18">
      <calculatedColumnFormula>Tabela1[[#This Row],[Preco 3%]]+(Tabela1[[#This Row],[Preco 3%]]*0.1)</calculatedColumnFormula>
    </tableColumn>
    <tableColumn id="14" xr3:uid="{9A69AC9B-D077-4F55-A743-9E925DAE97AF}" name="Região01 4%" dataDxfId="17">
      <calculatedColumnFormula>Tabela1[[#This Row],[Região01 3%]]+(Tabela1[[#This Row],[Região01 3%]]*0.06)</calculatedColumnFormula>
    </tableColumn>
    <tableColumn id="11" xr3:uid="{1E815863-4F80-4588-8447-76F35B729167}" name="Região02 3%" dataDxfId="16">
      <calculatedColumnFormula>Tabela1[[#This Row],[Preco 3%]]+(Tabela1[[#This Row],[Preco 3%]]*0.05)</calculatedColumnFormula>
    </tableColumn>
    <tableColumn id="15" xr3:uid="{EB772668-63F6-4F66-B2FE-843445572135}" name="Região02 4%" dataDxfId="15">
      <calculatedColumnFormula>Tabela1[[#This Row],[Região02 3%]]+(Tabela1[[#This Row],[Região02 3%]]*0.06)</calculatedColumnFormula>
    </tableColumn>
    <tableColumn id="12" xr3:uid="{03DDD43E-C834-4A78-93F3-BBCE309A03B4}" name="Região03 3%" dataDxfId="14">
      <calculatedColumnFormula>Tabela1[[#This Row],[Preco 3%]]+(Tabela1[[#This Row],[Preco 3%]]*0.08)</calculatedColumnFormula>
    </tableColumn>
    <tableColumn id="16" xr3:uid="{05CB9EB7-B713-4E72-AF0E-3F42F8294097}" name="Região03 4%" dataDxfId="13">
      <calculatedColumnFormula>Tabela1[[#This Row],[Região03 3%]]+(Tabela1[[#This Row],[Região03 3%]]*0.06)</calculatedColumnFormula>
    </tableColumn>
    <tableColumn id="13" xr3:uid="{44F62967-DB8E-408C-A0E4-B3E1EC030AD5}" name="Região04 3%" dataDxfId="12">
      <calculatedColumnFormula>Tabela1[[#This Row],[Preco 3%]]+(Tabela1[[#This Row],[Preco 3%]]*0.06)</calculatedColumnFormula>
    </tableColumn>
    <tableColumn id="17" xr3:uid="{CB51A162-8A22-4905-B632-C255E7D1F192}" name="Região04 4%" dataDxfId="11">
      <calculatedColumnFormula>Tabela1[[#This Row],[Região04 3%]]+(Tabela1[[#This Row],[Região04 3%]]*0.06)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E4AB22-CC81-46A5-8E9D-BA15DF99BBB0}" name="Tabela2" displayName="Tabela2" ref="A1:G331" totalsRowShown="0" headerRowDxfId="10" headerRowBorderDxfId="9" tableBorderDxfId="8" totalsRowBorderDxfId="7">
  <autoFilter ref="A1:G331" xr:uid="{B6E4AB22-CC81-46A5-8E9D-BA15DF99BBB0}">
    <filterColumn colId="5">
      <filters blank="1">
        <filter val="0"/>
      </filters>
    </filterColumn>
  </autoFilter>
  <tableColumns count="7">
    <tableColumn id="1" xr3:uid="{49F9A101-1F65-4A1E-A291-21E325604A24}" name="COD" dataDxfId="6"/>
    <tableColumn id="2" xr3:uid="{B6B5DE3B-A99A-4156-AA8B-3D83F4E34F3F}" name="DESCRIÇÃO" dataDxfId="5"/>
    <tableColumn id="3" xr3:uid="{3D38594D-4732-42D1-8F09-82A15D4753CB}" name="PESO" dataDxfId="4"/>
    <tableColumn id="4" xr3:uid="{73AD5E7C-295D-4E24-AF22-1C03AAA6FE04}" name="TIPO" dataDxfId="3"/>
    <tableColumn id="5" xr3:uid="{897DAD0D-6A3C-443B-BCC5-B43C099F2C1B}" name="VOL." dataDxfId="2"/>
    <tableColumn id="6" xr3:uid="{5A2A3043-C96F-46DD-B142-DEB2458C1999}" name="UNID." dataDxfId="1"/>
    <tableColumn id="7" xr3:uid="{9BDA27C3-1490-4741-A5E9-29B583E36E56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C1FE-16FA-4E4B-B34E-F84713378B87}">
  <dimension ref="A1:Q430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274" sqref="F274"/>
    </sheetView>
  </sheetViews>
  <sheetFormatPr defaultRowHeight="15" x14ac:dyDescent="0.25"/>
  <cols>
    <col min="1" max="1" width="10" bestFit="1" customWidth="1"/>
    <col min="2" max="2" width="55.140625" bestFit="1" customWidth="1"/>
    <col min="3" max="3" width="36.7109375" bestFit="1" customWidth="1"/>
    <col min="4" max="4" width="11.5703125" customWidth="1"/>
    <col min="5" max="5" width="12.7109375" style="1" bestFit="1" customWidth="1"/>
    <col min="6" max="6" width="10.5703125" bestFit="1" customWidth="1"/>
    <col min="7" max="7" width="55.140625" bestFit="1" customWidth="1"/>
    <col min="8" max="9" width="12.140625" bestFit="1" customWidth="1"/>
    <col min="10" max="11" width="15.5703125" bestFit="1" customWidth="1"/>
    <col min="12" max="12" width="16.42578125" bestFit="1" customWidth="1"/>
    <col min="13" max="17" width="15.5703125" bestFit="1" customWidth="1"/>
  </cols>
  <sheetData>
    <row r="1" spans="1:17" x14ac:dyDescent="0.25">
      <c r="A1" t="s">
        <v>340</v>
      </c>
      <c r="B1" t="s">
        <v>0</v>
      </c>
      <c r="C1" t="s">
        <v>2</v>
      </c>
      <c r="D1" t="s">
        <v>1</v>
      </c>
      <c r="E1" s="1" t="s">
        <v>339</v>
      </c>
      <c r="F1" t="s">
        <v>342</v>
      </c>
      <c r="G1" t="s">
        <v>341</v>
      </c>
      <c r="H1" t="s">
        <v>647</v>
      </c>
      <c r="I1" t="s">
        <v>648</v>
      </c>
      <c r="J1" t="s">
        <v>660</v>
      </c>
      <c r="K1" t="s">
        <v>664</v>
      </c>
      <c r="L1" t="s">
        <v>661</v>
      </c>
      <c r="M1" t="s">
        <v>662</v>
      </c>
      <c r="N1" t="s">
        <v>663</v>
      </c>
      <c r="O1" t="s">
        <v>665</v>
      </c>
      <c r="P1" t="s">
        <v>666</v>
      </c>
      <c r="Q1" t="s">
        <v>667</v>
      </c>
    </row>
    <row r="2" spans="1:17" x14ac:dyDescent="0.25">
      <c r="A2">
        <v>1</v>
      </c>
      <c r="B2" t="s">
        <v>3</v>
      </c>
      <c r="C2" t="s">
        <v>5</v>
      </c>
      <c r="D2" t="s">
        <v>4</v>
      </c>
      <c r="E2" s="1" t="s">
        <v>322</v>
      </c>
      <c r="F2">
        <f>VLOOKUP(Tabela14[[#This Row],[ID_COD]],Tabela2[],6,0)</f>
        <v>1000</v>
      </c>
      <c r="G2" t="s">
        <v>254</v>
      </c>
      <c r="H2" s="2">
        <f>VLOOKUP(A2,'Tabela de preços'!A1:H88,8,FALSE)</f>
        <v>0.41039999999999999</v>
      </c>
      <c r="I2" s="34">
        <f>Tabela14[[#This Row],[PRECO 3%]]+(Tabela14[[#This Row],[PRECO 3%]]*0.06)</f>
        <v>0.43502399999999997</v>
      </c>
      <c r="J2" s="49">
        <f>(Tabela14[[#This Row],[PRECO 3%]]*0.1)+Tabela14[[#This Row],[PRECO 3%]]</f>
        <v>0.45144000000000001</v>
      </c>
      <c r="K2" s="49">
        <f>(Tabela14[[#This Row],[REGIÃO01-3%]]*0.06)+Tabela14[[#This Row],[REGIÃO01-3%]]</f>
        <v>0.47852640000000002</v>
      </c>
      <c r="L2" s="34">
        <f>(Tabela14[[#This Row],[PRECO 3%]]*0.05)+Tabela14[[#This Row],[PRECO 3%]]</f>
        <v>0.43091999999999997</v>
      </c>
      <c r="M2" s="34">
        <f>(Tabela14[[#This Row],[REGIÃO02 - 3%]]*0.06)+Tabela14[[#This Row],[REGIÃO02 - 3%]]</f>
        <v>0.45677519999999999</v>
      </c>
      <c r="N2" s="34">
        <f>(Tabela14[[#This Row],[PRECO 3%]]*0.08)+Tabela14[[#This Row],[PRECO 3%]]</f>
        <v>0.44323199999999996</v>
      </c>
      <c r="O2" s="34">
        <f>(Tabela14[[#This Row],[REGIÃO03-3%]]*0.06)+Tabela14[[#This Row],[REGIÃO03-3%]]</f>
        <v>0.46982591999999995</v>
      </c>
      <c r="P2" s="34">
        <f>(Tabela14[[#This Row],[PRECO 3%]]*0.06)+Tabela14[[#This Row],[PRECO 3%]]</f>
        <v>0.43502399999999997</v>
      </c>
      <c r="Q2" s="34">
        <f>(Tabela14[[#This Row],[REGIÃO04-3%]]*0.06)+Tabela14[[#This Row],[REGIÃO04-3%]]</f>
        <v>0.46112543999999994</v>
      </c>
    </row>
    <row r="3" spans="1:17" x14ac:dyDescent="0.25">
      <c r="A3">
        <v>2</v>
      </c>
      <c r="B3" t="s">
        <v>3</v>
      </c>
      <c r="C3" t="s">
        <v>6</v>
      </c>
      <c r="D3" t="s">
        <v>4</v>
      </c>
      <c r="E3" s="1" t="s">
        <v>322</v>
      </c>
      <c r="F3">
        <f>VLOOKUP(Tabela14[[#This Row],[ID_COD]],Tabela2[],6,0)</f>
        <v>1000</v>
      </c>
      <c r="G3" t="s">
        <v>258</v>
      </c>
      <c r="H3" s="2">
        <f>VLOOKUP(A3,'Tabela de preços'!A2:H89,8,FALSE)</f>
        <v>0.43200000000000005</v>
      </c>
      <c r="I3" s="34">
        <f>Tabela14[[#This Row],[PRECO 3%]]+(Tabela14[[#This Row],[PRECO 3%]]*0.06)</f>
        <v>0.45792000000000005</v>
      </c>
      <c r="J3" s="49">
        <f>(Tabela14[[#This Row],[PRECO 3%]]*0.1)+Tabela14[[#This Row],[PRECO 3%]]</f>
        <v>0.47520000000000007</v>
      </c>
      <c r="K3" s="49">
        <f>(Tabela14[[#This Row],[REGIÃO01-3%]]*0.06)+Tabela14[[#This Row],[REGIÃO01-3%]]</f>
        <v>0.50371200000000005</v>
      </c>
      <c r="L3" s="34">
        <f>(Tabela14[[#This Row],[PRECO 3%]]*0.05)+Tabela14[[#This Row],[PRECO 3%]]</f>
        <v>0.45360000000000006</v>
      </c>
      <c r="M3" s="34">
        <f>(Tabela14[[#This Row],[REGIÃO02 - 3%]]*0.06)+Tabela14[[#This Row],[REGIÃO02 - 3%]]</f>
        <v>0.48081600000000008</v>
      </c>
      <c r="N3" s="34">
        <f>(Tabela14[[#This Row],[PRECO 3%]]*0.08)+Tabela14[[#This Row],[PRECO 3%]]</f>
        <v>0.46656000000000009</v>
      </c>
      <c r="O3" s="34">
        <f>(Tabela14[[#This Row],[REGIÃO03-3%]]*0.06)+Tabela14[[#This Row],[REGIÃO03-3%]]</f>
        <v>0.49455360000000009</v>
      </c>
      <c r="P3" s="34">
        <f>(Tabela14[[#This Row],[PRECO 3%]]*0.06)+Tabela14[[#This Row],[PRECO 3%]]</f>
        <v>0.45792000000000005</v>
      </c>
      <c r="Q3" s="34">
        <f>(Tabela14[[#This Row],[REGIÃO04-3%]]*0.06)+Tabela14[[#This Row],[REGIÃO04-3%]]</f>
        <v>0.48539520000000003</v>
      </c>
    </row>
    <row r="4" spans="1:17" x14ac:dyDescent="0.25">
      <c r="A4">
        <v>3</v>
      </c>
      <c r="B4" t="s">
        <v>3</v>
      </c>
      <c r="C4" t="s">
        <v>7</v>
      </c>
      <c r="D4" t="s">
        <v>4</v>
      </c>
      <c r="E4" s="1" t="s">
        <v>322</v>
      </c>
      <c r="F4">
        <f>VLOOKUP(Tabela14[[#This Row],[ID_COD]],Tabela2[],6,0)</f>
        <v>1000</v>
      </c>
      <c r="G4" t="s">
        <v>264</v>
      </c>
      <c r="H4" s="2">
        <f>VLOOKUP(A4,'Tabela de preços'!A3:H90,8,FALSE)</f>
        <v>0.4536</v>
      </c>
      <c r="I4" s="34">
        <f>Tabela14[[#This Row],[PRECO 3%]]+(Tabela14[[#This Row],[PRECO 3%]]*0.06)</f>
        <v>0.48081600000000002</v>
      </c>
      <c r="J4" s="49">
        <f>(Tabela14[[#This Row],[PRECO 3%]]*0.1)+Tabela14[[#This Row],[PRECO 3%]]</f>
        <v>0.49896000000000001</v>
      </c>
      <c r="K4" s="49">
        <f>(Tabela14[[#This Row],[REGIÃO01-3%]]*0.06)+Tabela14[[#This Row],[REGIÃO01-3%]]</f>
        <v>0.52889759999999997</v>
      </c>
      <c r="L4" s="34">
        <f>(Tabela14[[#This Row],[PRECO 3%]]*0.05)+Tabela14[[#This Row],[PRECO 3%]]</f>
        <v>0.47627999999999998</v>
      </c>
      <c r="M4" s="34">
        <f>(Tabela14[[#This Row],[REGIÃO02 - 3%]]*0.06)+Tabela14[[#This Row],[REGIÃO02 - 3%]]</f>
        <v>0.50485679999999999</v>
      </c>
      <c r="N4" s="34">
        <f>(Tabela14[[#This Row],[PRECO 3%]]*0.08)+Tabela14[[#This Row],[PRECO 3%]]</f>
        <v>0.48988799999999999</v>
      </c>
      <c r="O4" s="34">
        <f>(Tabela14[[#This Row],[REGIÃO03-3%]]*0.06)+Tabela14[[#This Row],[REGIÃO03-3%]]</f>
        <v>0.51928127999999996</v>
      </c>
      <c r="P4" s="34">
        <f>(Tabela14[[#This Row],[PRECO 3%]]*0.06)+Tabela14[[#This Row],[PRECO 3%]]</f>
        <v>0.48081600000000002</v>
      </c>
      <c r="Q4" s="34">
        <f>(Tabela14[[#This Row],[REGIÃO04-3%]]*0.06)+Tabela14[[#This Row],[REGIÃO04-3%]]</f>
        <v>0.50966496000000006</v>
      </c>
    </row>
    <row r="5" spans="1:17" x14ac:dyDescent="0.25">
      <c r="A5">
        <v>4</v>
      </c>
      <c r="B5" t="s">
        <v>3</v>
      </c>
      <c r="C5" t="s">
        <v>64</v>
      </c>
      <c r="D5" t="s">
        <v>63</v>
      </c>
      <c r="E5" s="1" t="s">
        <v>322</v>
      </c>
      <c r="F5">
        <f>VLOOKUP(Tabela14[[#This Row],[ID_COD]],Tabela2[],6,0)</f>
        <v>1000</v>
      </c>
      <c r="G5" t="s">
        <v>261</v>
      </c>
      <c r="H5" s="2" t="s">
        <v>649</v>
      </c>
      <c r="I5" s="34" t="e">
        <f>Tabela14[[#This Row],[PRECO 3%]]+(Tabela14[[#This Row],[PRECO 3%]]*0.06)</f>
        <v>#VALUE!</v>
      </c>
      <c r="J5" s="49" t="e">
        <f>(Tabela14[[#This Row],[PRECO 3%]]*0.1)+Tabela14[[#This Row],[PRECO 3%]]</f>
        <v>#VALUE!</v>
      </c>
      <c r="K5" s="49" t="e">
        <f>(Tabela14[[#This Row],[REGIÃO01-3%]]*0.06)+Tabela14[[#This Row],[REGIÃO01-3%]]</f>
        <v>#VALUE!</v>
      </c>
      <c r="L5" s="34" t="e">
        <f>(Tabela14[[#This Row],[PRECO 3%]]*0.05)+Tabela14[[#This Row],[PRECO 3%]]</f>
        <v>#VALUE!</v>
      </c>
      <c r="M5" s="34" t="e">
        <f>(Tabela14[[#This Row],[REGIÃO02 - 3%]]*0.06)+Tabela14[[#This Row],[REGIÃO02 - 3%]]</f>
        <v>#VALUE!</v>
      </c>
      <c r="N5" s="34" t="e">
        <f>(Tabela14[[#This Row],[PRECO 3%]]*0.08)+Tabela14[[#This Row],[PRECO 3%]]</f>
        <v>#VALUE!</v>
      </c>
      <c r="O5" s="34" t="e">
        <f>(Tabela14[[#This Row],[REGIÃO03-3%]]*0.06)+Tabela14[[#This Row],[REGIÃO03-3%]]</f>
        <v>#VALUE!</v>
      </c>
      <c r="P5" s="34" t="e">
        <f>(Tabela14[[#This Row],[PRECO 3%]]*0.06)+Tabela14[[#This Row],[PRECO 3%]]</f>
        <v>#VALUE!</v>
      </c>
      <c r="Q5" s="34" t="e">
        <f>(Tabela14[[#This Row],[REGIÃO04-3%]]*0.06)+Tabela14[[#This Row],[REGIÃO04-3%]]</f>
        <v>#VALUE!</v>
      </c>
    </row>
    <row r="6" spans="1:17" x14ac:dyDescent="0.25">
      <c r="A6">
        <v>5</v>
      </c>
      <c r="B6" t="s">
        <v>14</v>
      </c>
      <c r="C6" t="s">
        <v>15</v>
      </c>
      <c r="D6" t="s">
        <v>4</v>
      </c>
      <c r="E6" s="1" t="s">
        <v>294</v>
      </c>
      <c r="F6">
        <f>VLOOKUP(Tabela14[[#This Row],[ID_COD]],Tabela2[],6,0)</f>
        <v>0</v>
      </c>
      <c r="G6" t="s">
        <v>265</v>
      </c>
      <c r="H6" s="46">
        <f>(Tabela14[[#This Row],[Gramatura]]*6.99)/105</f>
        <v>4.66</v>
      </c>
      <c r="I6" s="47">
        <f>Tabela14[[#This Row],[PRECO 3%]]+(Tabela14[[#This Row],[PRECO 3%]]*0.06)</f>
        <v>4.9396000000000004</v>
      </c>
      <c r="J6" s="49">
        <f>(Tabela14[[#This Row],[PRECO 3%]]*0.1)+Tabela14[[#This Row],[PRECO 3%]]</f>
        <v>5.1260000000000003</v>
      </c>
      <c r="K6" s="49">
        <f>(Tabela14[[#This Row],[REGIÃO01-3%]]*0.06)+Tabela14[[#This Row],[REGIÃO01-3%]]</f>
        <v>5.4335599999999999</v>
      </c>
      <c r="L6" s="50">
        <f>(Tabela14[[#This Row],[PRECO 3%]]*0.05)+Tabela14[[#This Row],[PRECO 3%]]</f>
        <v>4.8929999999999998</v>
      </c>
      <c r="M6" s="50">
        <f>(Tabela14[[#This Row],[REGIÃO02 - 3%]]*0.06)+Tabela14[[#This Row],[REGIÃO02 - 3%]]</f>
        <v>5.1865799999999993</v>
      </c>
      <c r="N6" s="51">
        <f>(Tabela14[[#This Row],[PRECO 3%]]*0.08)+Tabela14[[#This Row],[PRECO 3%]]</f>
        <v>5.0327999999999999</v>
      </c>
      <c r="O6" s="51">
        <f>(Tabela14[[#This Row],[REGIÃO03-3%]]*0.06)+Tabela14[[#This Row],[REGIÃO03-3%]]</f>
        <v>5.3347679999999995</v>
      </c>
      <c r="P6" s="52">
        <f>(Tabela14[[#This Row],[PRECO 3%]]*0.06)+Tabela14[[#This Row],[PRECO 3%]]</f>
        <v>4.9396000000000004</v>
      </c>
      <c r="Q6" s="34">
        <f>(Tabela14[[#This Row],[REGIÃO04-3%]]*0.06)+Tabela14[[#This Row],[REGIÃO04-3%]]</f>
        <v>5.2359760000000009</v>
      </c>
    </row>
    <row r="7" spans="1:17" x14ac:dyDescent="0.25">
      <c r="A7">
        <v>6</v>
      </c>
      <c r="B7" t="s">
        <v>14</v>
      </c>
      <c r="C7" t="s">
        <v>15</v>
      </c>
      <c r="D7" t="s">
        <v>4</v>
      </c>
      <c r="E7" s="1" t="s">
        <v>314</v>
      </c>
      <c r="F7">
        <f>VLOOKUP(Tabela14[[#This Row],[ID_COD]],Tabela2[],6,0)</f>
        <v>0</v>
      </c>
      <c r="G7" t="s">
        <v>265</v>
      </c>
      <c r="H7" s="46">
        <f>(Tabela14[[#This Row],[Gramatura]]*6.99)/105</f>
        <v>5.3257142857142865</v>
      </c>
      <c r="I7" s="47">
        <f>Tabela14[[#This Row],[PRECO 3%]]+(Tabela14[[#This Row],[PRECO 3%]]*0.06)</f>
        <v>5.6452571428571439</v>
      </c>
      <c r="J7" s="49">
        <f>(Tabela14[[#This Row],[PRECO 3%]]*0.1)+Tabela14[[#This Row],[PRECO 3%]]</f>
        <v>5.8582857142857154</v>
      </c>
      <c r="K7" s="49">
        <f>(Tabela14[[#This Row],[REGIÃO01-3%]]*0.06)+Tabela14[[#This Row],[REGIÃO01-3%]]</f>
        <v>6.2097828571428586</v>
      </c>
      <c r="L7" s="50">
        <f>(Tabela14[[#This Row],[PRECO 3%]]*0.05)+Tabela14[[#This Row],[PRECO 3%]]</f>
        <v>5.5920000000000005</v>
      </c>
      <c r="M7" s="50">
        <f>(Tabela14[[#This Row],[REGIÃO02 - 3%]]*0.06)+Tabela14[[#This Row],[REGIÃO02 - 3%]]</f>
        <v>5.9275200000000003</v>
      </c>
      <c r="N7" s="51">
        <f>(Tabela14[[#This Row],[PRECO 3%]]*0.08)+Tabela14[[#This Row],[PRECO 3%]]</f>
        <v>5.7517714285714296</v>
      </c>
      <c r="O7" s="51">
        <f>(Tabela14[[#This Row],[REGIÃO03-3%]]*0.06)+Tabela14[[#This Row],[REGIÃO03-3%]]</f>
        <v>6.0968777142857151</v>
      </c>
      <c r="P7" s="52">
        <f>(Tabela14[[#This Row],[PRECO 3%]]*0.06)+Tabela14[[#This Row],[PRECO 3%]]</f>
        <v>5.6452571428571439</v>
      </c>
      <c r="Q7" s="34">
        <f>(Tabela14[[#This Row],[REGIÃO04-3%]]*0.06)+Tabela14[[#This Row],[REGIÃO04-3%]]</f>
        <v>5.9839725714285725</v>
      </c>
    </row>
    <row r="8" spans="1:17" x14ac:dyDescent="0.25">
      <c r="A8">
        <v>7</v>
      </c>
      <c r="B8" t="s">
        <v>14</v>
      </c>
      <c r="C8" t="s">
        <v>15</v>
      </c>
      <c r="D8" t="s">
        <v>4</v>
      </c>
      <c r="E8" s="1" t="s">
        <v>198</v>
      </c>
      <c r="F8">
        <f>VLOOKUP(Tabela14[[#This Row],[ID_COD]],Tabela2[],6,0)</f>
        <v>0</v>
      </c>
      <c r="G8" t="s">
        <v>266</v>
      </c>
      <c r="H8" s="46">
        <f>(Tabela14[[#This Row],[Gramatura]]*6.99)/105</f>
        <v>5.991428571428572</v>
      </c>
      <c r="I8" s="47">
        <f>Tabela14[[#This Row],[PRECO 3%]]+(Tabela14[[#This Row],[PRECO 3%]]*0.06)</f>
        <v>6.3509142857142864</v>
      </c>
      <c r="J8" s="49">
        <f>(Tabela14[[#This Row],[PRECO 3%]]*0.1)+Tabela14[[#This Row],[PRECO 3%]]</f>
        <v>6.5905714285714296</v>
      </c>
      <c r="K8" s="49">
        <f>(Tabela14[[#This Row],[REGIÃO01-3%]]*0.06)+Tabela14[[#This Row],[REGIÃO01-3%]]</f>
        <v>6.9860057142857155</v>
      </c>
      <c r="L8" s="50">
        <f>(Tabela14[[#This Row],[PRECO 3%]]*0.05)+Tabela14[[#This Row],[PRECO 3%]]</f>
        <v>6.2910000000000004</v>
      </c>
      <c r="M8" s="50">
        <f>(Tabela14[[#This Row],[REGIÃO02 - 3%]]*0.06)+Tabela14[[#This Row],[REGIÃO02 - 3%]]</f>
        <v>6.6684600000000005</v>
      </c>
      <c r="N8" s="51">
        <f>(Tabela14[[#This Row],[PRECO 3%]]*0.08)+Tabela14[[#This Row],[PRECO 3%]]</f>
        <v>6.4707428571428576</v>
      </c>
      <c r="O8" s="51">
        <f>(Tabela14[[#This Row],[REGIÃO03-3%]]*0.06)+Tabela14[[#This Row],[REGIÃO03-3%]]</f>
        <v>6.858987428571429</v>
      </c>
      <c r="P8" s="52">
        <f>(Tabela14[[#This Row],[PRECO 3%]]*0.06)+Tabela14[[#This Row],[PRECO 3%]]</f>
        <v>6.3509142857142864</v>
      </c>
      <c r="Q8" s="34">
        <f>(Tabela14[[#This Row],[REGIÃO04-3%]]*0.06)+Tabela14[[#This Row],[REGIÃO04-3%]]</f>
        <v>6.7319691428571433</v>
      </c>
    </row>
    <row r="9" spans="1:17" x14ac:dyDescent="0.25">
      <c r="A9">
        <v>8</v>
      </c>
      <c r="B9" t="s">
        <v>14</v>
      </c>
      <c r="C9" t="s">
        <v>15</v>
      </c>
      <c r="D9" t="s">
        <v>4</v>
      </c>
      <c r="E9" s="3">
        <v>105</v>
      </c>
      <c r="F9">
        <f>VLOOKUP(Tabela14[[#This Row],[ID_COD]],Tabela2[],6,0)</f>
        <v>72</v>
      </c>
      <c r="G9" t="s">
        <v>265</v>
      </c>
      <c r="H9" s="46">
        <v>6.99</v>
      </c>
      <c r="I9" s="47">
        <f>Tabela14[[#This Row],[PRECO 3%]]+(Tabela14[[#This Row],[PRECO 3%]]*0.06)</f>
        <v>7.4093999999999998</v>
      </c>
      <c r="J9" s="49">
        <f>(Tabela14[[#This Row],[PRECO 3%]]*0.1)+Tabela14[[#This Row],[PRECO 3%]]</f>
        <v>7.6890000000000001</v>
      </c>
      <c r="K9" s="49">
        <f>(Tabela14[[#This Row],[REGIÃO01-3%]]*0.06)+Tabela14[[#This Row],[REGIÃO01-3%]]</f>
        <v>8.1503399999999999</v>
      </c>
      <c r="L9" s="50">
        <f>(Tabela14[[#This Row],[PRECO 3%]]*0.05)+Tabela14[[#This Row],[PRECO 3%]]</f>
        <v>7.3395000000000001</v>
      </c>
      <c r="M9" s="50">
        <f>(Tabela14[[#This Row],[REGIÃO02 - 3%]]*0.06)+Tabela14[[#This Row],[REGIÃO02 - 3%]]</f>
        <v>7.7798699999999998</v>
      </c>
      <c r="N9" s="51">
        <f>(Tabela14[[#This Row],[PRECO 3%]]*0.08)+Tabela14[[#This Row],[PRECO 3%]]</f>
        <v>7.5491999999999999</v>
      </c>
      <c r="O9" s="51">
        <f>(Tabela14[[#This Row],[REGIÃO03-3%]]*0.06)+Tabela14[[#This Row],[REGIÃO03-3%]]</f>
        <v>8.0021520000000006</v>
      </c>
      <c r="P9" s="52">
        <f>(Tabela14[[#This Row],[PRECO 3%]]*0.06)+Tabela14[[#This Row],[PRECO 3%]]</f>
        <v>7.4093999999999998</v>
      </c>
      <c r="Q9" s="34">
        <f>(Tabela14[[#This Row],[REGIÃO04-3%]]*0.06)+Tabela14[[#This Row],[REGIÃO04-3%]]</f>
        <v>7.8539639999999995</v>
      </c>
    </row>
    <row r="10" spans="1:17" x14ac:dyDescent="0.25">
      <c r="A10">
        <v>9</v>
      </c>
      <c r="B10" t="s">
        <v>14</v>
      </c>
      <c r="C10" t="s">
        <v>15</v>
      </c>
      <c r="D10" t="s">
        <v>4</v>
      </c>
      <c r="E10" s="1" t="s">
        <v>224</v>
      </c>
      <c r="F10">
        <f>VLOOKUP(Tabela14[[#This Row],[ID_COD]],Tabela2[],6,0)</f>
        <v>0</v>
      </c>
      <c r="G10" t="s">
        <v>270</v>
      </c>
      <c r="H10" s="46">
        <v>7.322857142857143</v>
      </c>
      <c r="I10" s="47">
        <f>Tabela14[[#This Row],[PRECO 3%]]+(Tabela14[[#This Row],[PRECO 3%]]*0.06)</f>
        <v>7.7622285714285715</v>
      </c>
      <c r="J10" s="49">
        <f>(Tabela14[[#This Row],[PRECO 3%]]*0.1)+Tabela14[[#This Row],[PRECO 3%]]</f>
        <v>8.055142857142858</v>
      </c>
      <c r="K10" s="49">
        <f>(Tabela14[[#This Row],[REGIÃO01-3%]]*0.06)+Tabela14[[#This Row],[REGIÃO01-3%]]</f>
        <v>8.5384514285714292</v>
      </c>
      <c r="L10" s="50">
        <f>(Tabela14[[#This Row],[PRECO 3%]]*0.05)+Tabela14[[#This Row],[PRECO 3%]]</f>
        <v>7.6890000000000001</v>
      </c>
      <c r="M10" s="50">
        <f>(Tabela14[[#This Row],[REGIÃO02 - 3%]]*0.06)+Tabela14[[#This Row],[REGIÃO02 - 3%]]</f>
        <v>8.1503399999999999</v>
      </c>
      <c r="N10" s="51">
        <f>(Tabela14[[#This Row],[PRECO 3%]]*0.08)+Tabela14[[#This Row],[PRECO 3%]]</f>
        <v>7.9086857142857143</v>
      </c>
      <c r="O10" s="51">
        <f>(Tabela14[[#This Row],[REGIÃO03-3%]]*0.06)+Tabela14[[#This Row],[REGIÃO03-3%]]</f>
        <v>8.3832068571428575</v>
      </c>
      <c r="P10" s="52">
        <f>(Tabela14[[#This Row],[PRECO 3%]]*0.06)+Tabela14[[#This Row],[PRECO 3%]]</f>
        <v>7.7622285714285715</v>
      </c>
      <c r="Q10" s="34">
        <f>(Tabela14[[#This Row],[REGIÃO04-3%]]*0.06)+Tabela14[[#This Row],[REGIÃO04-3%]]</f>
        <v>8.2279622857142858</v>
      </c>
    </row>
    <row r="11" spans="1:17" x14ac:dyDescent="0.25">
      <c r="A11">
        <v>10</v>
      </c>
      <c r="B11" t="s">
        <v>14</v>
      </c>
      <c r="C11" t="s">
        <v>15</v>
      </c>
      <c r="D11" t="s">
        <v>4</v>
      </c>
      <c r="E11" s="1" t="s">
        <v>245</v>
      </c>
      <c r="F11">
        <f>VLOOKUP(Tabela14[[#This Row],[ID_COD]],Tabela2[],6,0)</f>
        <v>60</v>
      </c>
      <c r="G11" t="s">
        <v>271</v>
      </c>
      <c r="H11" s="46">
        <v>7.9885714285714293</v>
      </c>
      <c r="I11" s="47">
        <f>Tabela14[[#This Row],[PRECO 3%]]+(Tabela14[[#This Row],[PRECO 3%]]*0.06)</f>
        <v>8.4678857142857158</v>
      </c>
      <c r="J11" s="49">
        <f>(Tabela14[[#This Row],[PRECO 3%]]*0.1)+Tabela14[[#This Row],[PRECO 3%]]</f>
        <v>8.7874285714285723</v>
      </c>
      <c r="K11" s="49">
        <f>(Tabela14[[#This Row],[REGIÃO01-3%]]*0.06)+Tabela14[[#This Row],[REGIÃO01-3%]]</f>
        <v>9.3146742857142861</v>
      </c>
      <c r="L11" s="50">
        <f>(Tabela14[[#This Row],[PRECO 3%]]*0.05)+Tabela14[[#This Row],[PRECO 3%]]</f>
        <v>8.3880000000000017</v>
      </c>
      <c r="M11" s="50">
        <f>(Tabela14[[#This Row],[REGIÃO02 - 3%]]*0.06)+Tabela14[[#This Row],[REGIÃO02 - 3%]]</f>
        <v>8.8912800000000018</v>
      </c>
      <c r="N11" s="51">
        <f>(Tabela14[[#This Row],[PRECO 3%]]*0.08)+Tabela14[[#This Row],[PRECO 3%]]</f>
        <v>8.627657142857144</v>
      </c>
      <c r="O11" s="51">
        <f>(Tabela14[[#This Row],[REGIÃO03-3%]]*0.06)+Tabela14[[#This Row],[REGIÃO03-3%]]</f>
        <v>9.1453165714285731</v>
      </c>
      <c r="P11" s="52">
        <f>(Tabela14[[#This Row],[PRECO 3%]]*0.06)+Tabela14[[#This Row],[PRECO 3%]]</f>
        <v>8.4678857142857158</v>
      </c>
      <c r="Q11" s="34">
        <f>(Tabela14[[#This Row],[REGIÃO04-3%]]*0.06)+Tabela14[[#This Row],[REGIÃO04-3%]]</f>
        <v>8.9759588571428583</v>
      </c>
    </row>
    <row r="12" spans="1:17" x14ac:dyDescent="0.25">
      <c r="A12">
        <v>11</v>
      </c>
      <c r="B12" t="s">
        <v>14</v>
      </c>
      <c r="C12" t="s">
        <v>15</v>
      </c>
      <c r="D12" t="s">
        <v>4</v>
      </c>
      <c r="E12" s="1" t="s">
        <v>190</v>
      </c>
      <c r="F12">
        <f>VLOOKUP(Tabela14[[#This Row],[ID_COD]],Tabela2[],6,0)</f>
        <v>50</v>
      </c>
      <c r="G12" t="s">
        <v>272</v>
      </c>
      <c r="H12" s="46">
        <v>8.6542857142857148</v>
      </c>
      <c r="I12" s="47">
        <f>Tabela14[[#This Row],[PRECO 3%]]+(Tabela14[[#This Row],[PRECO 3%]]*0.06)</f>
        <v>9.1735428571428574</v>
      </c>
      <c r="J12" s="49">
        <f>(Tabela14[[#This Row],[PRECO 3%]]*0.1)+Tabela14[[#This Row],[PRECO 3%]]</f>
        <v>9.5197142857142865</v>
      </c>
      <c r="K12" s="49">
        <f>(Tabela14[[#This Row],[REGIÃO01-3%]]*0.06)+Tabela14[[#This Row],[REGIÃO01-3%]]</f>
        <v>10.090897142857143</v>
      </c>
      <c r="L12" s="50">
        <f>(Tabela14[[#This Row],[PRECO 3%]]*0.05)+Tabela14[[#This Row],[PRECO 3%]]</f>
        <v>9.0869999999999997</v>
      </c>
      <c r="M12" s="50">
        <f>(Tabela14[[#This Row],[REGIÃO02 - 3%]]*0.06)+Tabela14[[#This Row],[REGIÃO02 - 3%]]</f>
        <v>9.6322200000000002</v>
      </c>
      <c r="N12" s="51">
        <f>(Tabela14[[#This Row],[PRECO 3%]]*0.08)+Tabela14[[#This Row],[PRECO 3%]]</f>
        <v>9.3466285714285711</v>
      </c>
      <c r="O12" s="51">
        <f>(Tabela14[[#This Row],[REGIÃO03-3%]]*0.06)+Tabela14[[#This Row],[REGIÃO03-3%]]</f>
        <v>9.9074262857142852</v>
      </c>
      <c r="P12" s="52">
        <f>(Tabela14[[#This Row],[PRECO 3%]]*0.06)+Tabela14[[#This Row],[PRECO 3%]]</f>
        <v>9.1735428571428574</v>
      </c>
      <c r="Q12" s="34">
        <f>(Tabela14[[#This Row],[REGIÃO04-3%]]*0.06)+Tabela14[[#This Row],[REGIÃO04-3%]]</f>
        <v>9.7239554285714291</v>
      </c>
    </row>
    <row r="13" spans="1:17" x14ac:dyDescent="0.25">
      <c r="A13">
        <v>12</v>
      </c>
      <c r="B13" t="s">
        <v>14</v>
      </c>
      <c r="C13" t="s">
        <v>15</v>
      </c>
      <c r="D13" t="s">
        <v>4</v>
      </c>
      <c r="E13" s="1" t="s">
        <v>214</v>
      </c>
      <c r="F13">
        <f>VLOOKUP(Tabela14[[#This Row],[ID_COD]],Tabela2[],6,0)</f>
        <v>0</v>
      </c>
      <c r="G13" t="s">
        <v>273</v>
      </c>
      <c r="H13" s="46">
        <v>9.32</v>
      </c>
      <c r="I13" s="47">
        <f>Tabela14[[#This Row],[PRECO 3%]]+(Tabela14[[#This Row],[PRECO 3%]]*0.06)</f>
        <v>9.8792000000000009</v>
      </c>
      <c r="J13" s="49">
        <f>(Tabela14[[#This Row],[PRECO 3%]]*0.1)+Tabela14[[#This Row],[PRECO 3%]]</f>
        <v>10.252000000000001</v>
      </c>
      <c r="K13" s="49">
        <f>(Tabela14[[#This Row],[REGIÃO01-3%]]*0.06)+Tabela14[[#This Row],[REGIÃO01-3%]]</f>
        <v>10.86712</v>
      </c>
      <c r="L13" s="50">
        <f>(Tabela14[[#This Row],[PRECO 3%]]*0.05)+Tabela14[[#This Row],[PRECO 3%]]</f>
        <v>9.7859999999999996</v>
      </c>
      <c r="M13" s="50">
        <f>(Tabela14[[#This Row],[REGIÃO02 - 3%]]*0.06)+Tabela14[[#This Row],[REGIÃO02 - 3%]]</f>
        <v>10.373159999999999</v>
      </c>
      <c r="N13" s="51">
        <f>(Tabela14[[#This Row],[PRECO 3%]]*0.08)+Tabela14[[#This Row],[PRECO 3%]]</f>
        <v>10.0656</v>
      </c>
      <c r="O13" s="51">
        <f>(Tabela14[[#This Row],[REGIÃO03-3%]]*0.06)+Tabela14[[#This Row],[REGIÃO03-3%]]</f>
        <v>10.669535999999999</v>
      </c>
      <c r="P13" s="52">
        <f>(Tabela14[[#This Row],[PRECO 3%]]*0.06)+Tabela14[[#This Row],[PRECO 3%]]</f>
        <v>9.8792000000000009</v>
      </c>
      <c r="Q13" s="34">
        <f>(Tabela14[[#This Row],[REGIÃO04-3%]]*0.06)+Tabela14[[#This Row],[REGIÃO04-3%]]</f>
        <v>10.471952000000002</v>
      </c>
    </row>
    <row r="14" spans="1:17" x14ac:dyDescent="0.25">
      <c r="A14">
        <v>13</v>
      </c>
      <c r="B14" t="s">
        <v>14</v>
      </c>
      <c r="C14" t="s">
        <v>15</v>
      </c>
      <c r="D14" t="s">
        <v>4</v>
      </c>
      <c r="E14" s="1" t="s">
        <v>240</v>
      </c>
      <c r="F14">
        <f>VLOOKUP(Tabela14[[#This Row],[ID_COD]],Tabela2[],6,0)</f>
        <v>50</v>
      </c>
      <c r="G14" t="s">
        <v>274</v>
      </c>
      <c r="H14" s="46">
        <v>10.88</v>
      </c>
      <c r="I14" s="47">
        <f>Tabela14[[#This Row],[PRECO 3%]]+(Tabela14[[#This Row],[PRECO 3%]]*0.06)</f>
        <v>11.532800000000002</v>
      </c>
      <c r="J14" s="49">
        <f>(Tabela14[[#This Row],[PRECO 3%]]*0.1)+Tabela14[[#This Row],[PRECO 3%]]</f>
        <v>11.968</v>
      </c>
      <c r="K14" s="49">
        <f>(Tabela14[[#This Row],[REGIÃO01-3%]]*0.06)+Tabela14[[#This Row],[REGIÃO01-3%]]</f>
        <v>12.68608</v>
      </c>
      <c r="L14" s="50">
        <f>(Tabela14[[#This Row],[PRECO 3%]]*0.05)+Tabela14[[#This Row],[PRECO 3%]]</f>
        <v>11.424000000000001</v>
      </c>
      <c r="M14" s="50">
        <f>(Tabela14[[#This Row],[REGIÃO02 - 3%]]*0.06)+Tabela14[[#This Row],[REGIÃO02 - 3%]]</f>
        <v>12.109440000000001</v>
      </c>
      <c r="N14" s="51">
        <f>(Tabela14[[#This Row],[PRECO 3%]]*0.08)+Tabela14[[#This Row],[PRECO 3%]]</f>
        <v>11.750400000000001</v>
      </c>
      <c r="O14" s="51">
        <f>(Tabela14[[#This Row],[REGIÃO03-3%]]*0.06)+Tabela14[[#This Row],[REGIÃO03-3%]]</f>
        <v>12.455424000000001</v>
      </c>
      <c r="P14" s="52">
        <f>(Tabela14[[#This Row],[PRECO 3%]]*0.06)+Tabela14[[#This Row],[PRECO 3%]]</f>
        <v>11.532800000000002</v>
      </c>
      <c r="Q14" s="34">
        <f>(Tabela14[[#This Row],[REGIÃO04-3%]]*0.06)+Tabela14[[#This Row],[REGIÃO04-3%]]</f>
        <v>12.224768000000001</v>
      </c>
    </row>
    <row r="15" spans="1:17" x14ac:dyDescent="0.25">
      <c r="A15">
        <v>14</v>
      </c>
      <c r="B15" t="s">
        <v>14</v>
      </c>
      <c r="C15" t="s">
        <v>15</v>
      </c>
      <c r="D15" t="s">
        <v>4</v>
      </c>
      <c r="E15" s="1" t="s">
        <v>138</v>
      </c>
      <c r="F15">
        <f>VLOOKUP(Tabela14[[#This Row],[ID_COD]],Tabela2[],6,0)</f>
        <v>0</v>
      </c>
      <c r="G15" t="s">
        <v>275</v>
      </c>
      <c r="H15" s="46">
        <v>10.651428571428573</v>
      </c>
      <c r="I15" s="47">
        <f>Tabela14[[#This Row],[PRECO 3%]]+(Tabela14[[#This Row],[PRECO 3%]]*0.06)</f>
        <v>11.290514285714288</v>
      </c>
      <c r="J15" s="49">
        <f>(Tabela14[[#This Row],[PRECO 3%]]*0.1)+Tabela14[[#This Row],[PRECO 3%]]</f>
        <v>11.716571428571431</v>
      </c>
      <c r="K15" s="49">
        <f>(Tabela14[[#This Row],[REGIÃO01-3%]]*0.06)+Tabela14[[#This Row],[REGIÃO01-3%]]</f>
        <v>12.419565714285717</v>
      </c>
      <c r="L15" s="50">
        <f>(Tabela14[[#This Row],[PRECO 3%]]*0.05)+Tabela14[[#This Row],[PRECO 3%]]</f>
        <v>11.184000000000001</v>
      </c>
      <c r="M15" s="50">
        <f>(Tabela14[[#This Row],[REGIÃO02 - 3%]]*0.06)+Tabela14[[#This Row],[REGIÃO02 - 3%]]</f>
        <v>11.855040000000001</v>
      </c>
      <c r="N15" s="51">
        <f>(Tabela14[[#This Row],[PRECO 3%]]*0.08)+Tabela14[[#This Row],[PRECO 3%]]</f>
        <v>11.503542857142859</v>
      </c>
      <c r="O15" s="51">
        <f>(Tabela14[[#This Row],[REGIÃO03-3%]]*0.06)+Tabela14[[#This Row],[REGIÃO03-3%]]</f>
        <v>12.19375542857143</v>
      </c>
      <c r="P15" s="52">
        <f>(Tabela14[[#This Row],[PRECO 3%]]*0.06)+Tabela14[[#This Row],[PRECO 3%]]</f>
        <v>11.290514285714288</v>
      </c>
      <c r="Q15" s="34">
        <f>(Tabela14[[#This Row],[REGIÃO04-3%]]*0.06)+Tabela14[[#This Row],[REGIÃO04-3%]]</f>
        <v>11.967945142857145</v>
      </c>
    </row>
    <row r="16" spans="1:17" x14ac:dyDescent="0.25">
      <c r="A16">
        <v>15</v>
      </c>
      <c r="B16" t="s">
        <v>14</v>
      </c>
      <c r="C16" t="s">
        <v>15</v>
      </c>
      <c r="D16" t="s">
        <v>4</v>
      </c>
      <c r="E16" s="1" t="s">
        <v>166</v>
      </c>
      <c r="F16">
        <f>VLOOKUP(Tabela14[[#This Row],[ID_COD]],Tabela2[],6,0)</f>
        <v>0</v>
      </c>
      <c r="G16" t="s">
        <v>276</v>
      </c>
      <c r="H16" s="46">
        <v>11.317142857142857</v>
      </c>
      <c r="I16" s="47">
        <f>Tabela14[[#This Row],[PRECO 3%]]+(Tabela14[[#This Row],[PRECO 3%]]*0.06)</f>
        <v>11.996171428571428</v>
      </c>
      <c r="J16" s="49">
        <f>(Tabela14[[#This Row],[PRECO 3%]]*0.1)+Tabela14[[#This Row],[PRECO 3%]]</f>
        <v>12.448857142857143</v>
      </c>
      <c r="K16" s="49">
        <f>(Tabela14[[#This Row],[REGIÃO01-3%]]*0.06)+Tabela14[[#This Row],[REGIÃO01-3%]]</f>
        <v>13.195788571428572</v>
      </c>
      <c r="L16" s="50">
        <f>(Tabela14[[#This Row],[PRECO 3%]]*0.05)+Tabela14[[#This Row],[PRECO 3%]]</f>
        <v>11.882999999999999</v>
      </c>
      <c r="M16" s="50">
        <f>(Tabela14[[#This Row],[REGIÃO02 - 3%]]*0.06)+Tabela14[[#This Row],[REGIÃO02 - 3%]]</f>
        <v>12.595979999999999</v>
      </c>
      <c r="N16" s="51">
        <f>(Tabela14[[#This Row],[PRECO 3%]]*0.08)+Tabela14[[#This Row],[PRECO 3%]]</f>
        <v>12.222514285714285</v>
      </c>
      <c r="O16" s="51">
        <f>(Tabela14[[#This Row],[REGIÃO03-3%]]*0.06)+Tabela14[[#This Row],[REGIÃO03-3%]]</f>
        <v>12.955865142857142</v>
      </c>
      <c r="P16" s="52">
        <f>(Tabela14[[#This Row],[PRECO 3%]]*0.06)+Tabela14[[#This Row],[PRECO 3%]]</f>
        <v>11.996171428571428</v>
      </c>
      <c r="Q16" s="34">
        <f>(Tabela14[[#This Row],[REGIÃO04-3%]]*0.06)+Tabela14[[#This Row],[REGIÃO04-3%]]</f>
        <v>12.715941714285712</v>
      </c>
    </row>
    <row r="17" spans="1:17" x14ac:dyDescent="0.25">
      <c r="A17">
        <v>16</v>
      </c>
      <c r="B17" t="s">
        <v>14</v>
      </c>
      <c r="C17" t="s">
        <v>15</v>
      </c>
      <c r="D17" t="s">
        <v>4</v>
      </c>
      <c r="E17" s="1" t="s">
        <v>323</v>
      </c>
      <c r="F17">
        <f>VLOOKUP(Tabela14[[#This Row],[ID_COD]],Tabela2[],6,0)</f>
        <v>40</v>
      </c>
      <c r="G17" t="s">
        <v>277</v>
      </c>
      <c r="H17" s="46">
        <v>11.982857142857144</v>
      </c>
      <c r="I17" s="47">
        <f>Tabela14[[#This Row],[PRECO 3%]]+(Tabela14[[#This Row],[PRECO 3%]]*0.06)</f>
        <v>12.701828571428573</v>
      </c>
      <c r="J17" s="49">
        <f>(Tabela14[[#This Row],[PRECO 3%]]*0.1)+Tabela14[[#This Row],[PRECO 3%]]</f>
        <v>13.181142857142859</v>
      </c>
      <c r="K17" s="49">
        <f>(Tabela14[[#This Row],[REGIÃO01-3%]]*0.06)+Tabela14[[#This Row],[REGIÃO01-3%]]</f>
        <v>13.972011428571431</v>
      </c>
      <c r="L17" s="50">
        <f>(Tabela14[[#This Row],[PRECO 3%]]*0.05)+Tabela14[[#This Row],[PRECO 3%]]</f>
        <v>12.582000000000001</v>
      </c>
      <c r="M17" s="50">
        <f>(Tabela14[[#This Row],[REGIÃO02 - 3%]]*0.06)+Tabela14[[#This Row],[REGIÃO02 - 3%]]</f>
        <v>13.336920000000001</v>
      </c>
      <c r="N17" s="51">
        <f>(Tabela14[[#This Row],[PRECO 3%]]*0.08)+Tabela14[[#This Row],[PRECO 3%]]</f>
        <v>12.941485714285715</v>
      </c>
      <c r="O17" s="51">
        <f>(Tabela14[[#This Row],[REGIÃO03-3%]]*0.06)+Tabela14[[#This Row],[REGIÃO03-3%]]</f>
        <v>13.717974857142858</v>
      </c>
      <c r="P17" s="52">
        <f>(Tabela14[[#This Row],[PRECO 3%]]*0.06)+Tabela14[[#This Row],[PRECO 3%]]</f>
        <v>12.701828571428573</v>
      </c>
      <c r="Q17" s="34">
        <f>(Tabela14[[#This Row],[REGIÃO04-3%]]*0.06)+Tabela14[[#This Row],[REGIÃO04-3%]]</f>
        <v>13.463938285714287</v>
      </c>
    </row>
    <row r="18" spans="1:17" x14ac:dyDescent="0.25">
      <c r="A18">
        <v>17</v>
      </c>
      <c r="B18" t="s">
        <v>14</v>
      </c>
      <c r="C18" t="s">
        <v>15</v>
      </c>
      <c r="D18" t="s">
        <v>4</v>
      </c>
      <c r="E18" s="1" t="s">
        <v>324</v>
      </c>
      <c r="F18">
        <f>VLOOKUP(Tabela14[[#This Row],[ID_COD]],Tabela2[],6,0)</f>
        <v>0</v>
      </c>
      <c r="G18" t="s">
        <v>278</v>
      </c>
      <c r="H18" s="46">
        <v>12.648571428571429</v>
      </c>
      <c r="I18" s="47">
        <f>Tabela14[[#This Row],[PRECO 3%]]+(Tabela14[[#This Row],[PRECO 3%]]*0.06)</f>
        <v>13.407485714285714</v>
      </c>
      <c r="J18" s="49">
        <f>(Tabela14[[#This Row],[PRECO 3%]]*0.1)+Tabela14[[#This Row],[PRECO 3%]]</f>
        <v>13.913428571428572</v>
      </c>
      <c r="K18" s="49">
        <f>(Tabela14[[#This Row],[REGIÃO01-3%]]*0.06)+Tabela14[[#This Row],[REGIÃO01-3%]]</f>
        <v>14.748234285714286</v>
      </c>
      <c r="L18" s="50">
        <f>(Tabela14[[#This Row],[PRECO 3%]]*0.05)+Tabela14[[#This Row],[PRECO 3%]]</f>
        <v>13.281000000000001</v>
      </c>
      <c r="M18" s="50">
        <f>(Tabela14[[#This Row],[REGIÃO02 - 3%]]*0.06)+Tabela14[[#This Row],[REGIÃO02 - 3%]]</f>
        <v>14.077860000000001</v>
      </c>
      <c r="N18" s="51">
        <f>(Tabela14[[#This Row],[PRECO 3%]]*0.08)+Tabela14[[#This Row],[PRECO 3%]]</f>
        <v>13.660457142857144</v>
      </c>
      <c r="O18" s="51">
        <f>(Tabela14[[#This Row],[REGIÃO03-3%]]*0.06)+Tabela14[[#This Row],[REGIÃO03-3%]]</f>
        <v>14.480084571428572</v>
      </c>
      <c r="P18" s="52">
        <f>(Tabela14[[#This Row],[PRECO 3%]]*0.06)+Tabela14[[#This Row],[PRECO 3%]]</f>
        <v>13.407485714285714</v>
      </c>
      <c r="Q18" s="34">
        <f>(Tabela14[[#This Row],[REGIÃO04-3%]]*0.06)+Tabela14[[#This Row],[REGIÃO04-3%]]</f>
        <v>14.211934857142857</v>
      </c>
    </row>
    <row r="19" spans="1:17" x14ac:dyDescent="0.25">
      <c r="A19">
        <v>18</v>
      </c>
      <c r="B19" t="s">
        <v>14</v>
      </c>
      <c r="C19" t="s">
        <v>15</v>
      </c>
      <c r="D19" t="s">
        <v>4</v>
      </c>
      <c r="E19" s="1" t="s">
        <v>325</v>
      </c>
      <c r="F19">
        <f>VLOOKUP(Tabela14[[#This Row],[ID_COD]],Tabela2[],6,0)</f>
        <v>0</v>
      </c>
      <c r="G19" t="s">
        <v>279</v>
      </c>
      <c r="H19" s="46">
        <v>13.314285714285715</v>
      </c>
      <c r="I19" s="47">
        <f>Tabela14[[#This Row],[PRECO 3%]]+(Tabela14[[#This Row],[PRECO 3%]]*0.06)</f>
        <v>14.113142857142858</v>
      </c>
      <c r="J19" s="49">
        <f>(Tabela14[[#This Row],[PRECO 3%]]*0.1)+Tabela14[[#This Row],[PRECO 3%]]</f>
        <v>14.645714285714286</v>
      </c>
      <c r="K19" s="49">
        <f>(Tabela14[[#This Row],[REGIÃO01-3%]]*0.06)+Tabela14[[#This Row],[REGIÃO01-3%]]</f>
        <v>15.524457142857143</v>
      </c>
      <c r="L19" s="50">
        <f>(Tabela14[[#This Row],[PRECO 3%]]*0.05)+Tabela14[[#This Row],[PRECO 3%]]</f>
        <v>13.98</v>
      </c>
      <c r="M19" s="50">
        <f>(Tabela14[[#This Row],[REGIÃO02 - 3%]]*0.06)+Tabela14[[#This Row],[REGIÃO02 - 3%]]</f>
        <v>14.8188</v>
      </c>
      <c r="N19" s="51">
        <f>(Tabela14[[#This Row],[PRECO 3%]]*0.08)+Tabela14[[#This Row],[PRECO 3%]]</f>
        <v>14.379428571428573</v>
      </c>
      <c r="O19" s="51">
        <f>(Tabela14[[#This Row],[REGIÃO03-3%]]*0.06)+Tabela14[[#This Row],[REGIÃO03-3%]]</f>
        <v>15.242194285714287</v>
      </c>
      <c r="P19" s="52">
        <f>(Tabela14[[#This Row],[PRECO 3%]]*0.06)+Tabela14[[#This Row],[PRECO 3%]]</f>
        <v>14.113142857142858</v>
      </c>
      <c r="Q19" s="34">
        <f>(Tabela14[[#This Row],[REGIÃO04-3%]]*0.06)+Tabela14[[#This Row],[REGIÃO04-3%]]</f>
        <v>14.95993142857143</v>
      </c>
    </row>
    <row r="20" spans="1:17" x14ac:dyDescent="0.25">
      <c r="A20">
        <v>19</v>
      </c>
      <c r="B20" t="s">
        <v>14</v>
      </c>
      <c r="C20" t="s">
        <v>15</v>
      </c>
      <c r="D20" t="s">
        <v>8</v>
      </c>
      <c r="E20" s="1" t="s">
        <v>299</v>
      </c>
      <c r="F20">
        <f>VLOOKUP(Tabela14[[#This Row],[ID_COD]],Tabela2[],6,0)</f>
        <v>0</v>
      </c>
      <c r="G20" t="s">
        <v>277</v>
      </c>
      <c r="H20" s="46">
        <v>22.034285714285719</v>
      </c>
      <c r="I20" s="47">
        <f>Tabela14[[#This Row],[PRECO 3%]]+(Tabela14[[#This Row],[PRECO 3%]]*0.06)</f>
        <v>23.356342857142863</v>
      </c>
      <c r="J20" s="49">
        <f>(Tabela14[[#This Row],[PRECO 3%]]*0.1)+Tabela14[[#This Row],[PRECO 3%]]</f>
        <v>24.23771428571429</v>
      </c>
      <c r="K20" s="49">
        <f>(Tabela14[[#This Row],[REGIÃO01-3%]]*0.06)+Tabela14[[#This Row],[REGIÃO01-3%]]</f>
        <v>25.691977142857148</v>
      </c>
      <c r="L20" s="50">
        <f>(Tabela14[[#This Row],[PRECO 3%]]*0.05)+Tabela14[[#This Row],[PRECO 3%]]</f>
        <v>23.136000000000006</v>
      </c>
      <c r="M20" s="50">
        <f>(Tabela14[[#This Row],[REGIÃO02 - 3%]]*0.06)+Tabela14[[#This Row],[REGIÃO02 - 3%]]</f>
        <v>24.524160000000006</v>
      </c>
      <c r="N20" s="51">
        <f>(Tabela14[[#This Row],[PRECO 3%]]*0.08)+Tabela14[[#This Row],[PRECO 3%]]</f>
        <v>23.797028571428577</v>
      </c>
      <c r="O20" s="51">
        <f>(Tabela14[[#This Row],[REGIÃO03-3%]]*0.06)+Tabela14[[#This Row],[REGIÃO03-3%]]</f>
        <v>25.22485028571429</v>
      </c>
      <c r="P20" s="52">
        <f>(Tabela14[[#This Row],[PRECO 3%]]*0.06)+Tabela14[[#This Row],[PRECO 3%]]</f>
        <v>23.356342857142863</v>
      </c>
      <c r="Q20" s="34">
        <f>(Tabela14[[#This Row],[REGIÃO04-3%]]*0.06)+Tabela14[[#This Row],[REGIÃO04-3%]]</f>
        <v>24.757723428571435</v>
      </c>
    </row>
    <row r="21" spans="1:17" x14ac:dyDescent="0.25">
      <c r="A21">
        <v>51</v>
      </c>
      <c r="B21" t="s">
        <v>14</v>
      </c>
      <c r="C21" t="s">
        <v>15</v>
      </c>
      <c r="D21" t="s">
        <v>8</v>
      </c>
      <c r="E21" s="1" t="s">
        <v>326</v>
      </c>
      <c r="F21">
        <f>VLOOKUP(Tabela14[[#This Row],[ID_COD]],Tabela2[],6,0)</f>
        <v>40</v>
      </c>
      <c r="G21" t="s">
        <v>267</v>
      </c>
      <c r="H21" s="46">
        <v>14.46</v>
      </c>
      <c r="I21" s="47">
        <f>Tabela14[[#This Row],[PRECO 3%]]+(Tabela14[[#This Row],[PRECO 3%]]*0.06)</f>
        <v>15.3276</v>
      </c>
      <c r="J21" s="49">
        <f>(Tabela14[[#This Row],[PRECO 3%]]*0.1)+Tabela14[[#This Row],[PRECO 3%]]</f>
        <v>15.906000000000001</v>
      </c>
      <c r="K21" s="49">
        <f>(Tabela14[[#This Row],[REGIÃO01-3%]]*0.06)+Tabela14[[#This Row],[REGIÃO01-3%]]</f>
        <v>16.86036</v>
      </c>
      <c r="L21" s="50">
        <f>(Tabela14[[#This Row],[PRECO 3%]]*0.05)+Tabela14[[#This Row],[PRECO 3%]]</f>
        <v>15.183000000000002</v>
      </c>
      <c r="M21" s="50">
        <f>(Tabela14[[#This Row],[REGIÃO02 - 3%]]*0.06)+Tabela14[[#This Row],[REGIÃO02 - 3%]]</f>
        <v>16.093980000000002</v>
      </c>
      <c r="N21" s="51">
        <f>(Tabela14[[#This Row],[PRECO 3%]]*0.08)+Tabela14[[#This Row],[PRECO 3%]]</f>
        <v>15.616800000000001</v>
      </c>
      <c r="O21" s="51">
        <f>(Tabela14[[#This Row],[REGIÃO03-3%]]*0.06)+Tabela14[[#This Row],[REGIÃO03-3%]]</f>
        <v>16.553808</v>
      </c>
      <c r="P21" s="52">
        <f>(Tabela14[[#This Row],[PRECO 3%]]*0.06)+Tabela14[[#This Row],[PRECO 3%]]</f>
        <v>15.3276</v>
      </c>
      <c r="Q21" s="34">
        <f>(Tabela14[[#This Row],[REGIÃO04-3%]]*0.06)+Tabela14[[#This Row],[REGIÃO04-3%]]</f>
        <v>16.247256</v>
      </c>
    </row>
    <row r="22" spans="1:17" x14ac:dyDescent="0.25">
      <c r="A22">
        <v>52</v>
      </c>
      <c r="B22" t="s">
        <v>14</v>
      </c>
      <c r="C22" t="s">
        <v>15</v>
      </c>
      <c r="D22" t="s">
        <v>8</v>
      </c>
      <c r="E22" s="1" t="s">
        <v>327</v>
      </c>
      <c r="F22">
        <f>VLOOKUP(Tabela14[[#This Row],[ID_COD]],Tabela2[],6,0)</f>
        <v>0</v>
      </c>
      <c r="G22" t="s">
        <v>268</v>
      </c>
      <c r="H22" s="46">
        <v>15.148571428571429</v>
      </c>
      <c r="I22" s="47">
        <f>Tabela14[[#This Row],[PRECO 3%]]+(Tabela14[[#This Row],[PRECO 3%]]*0.06)</f>
        <v>16.057485714285715</v>
      </c>
      <c r="J22" s="49">
        <f>(Tabela14[[#This Row],[PRECO 3%]]*0.1)+Tabela14[[#This Row],[PRECO 3%]]</f>
        <v>16.663428571428572</v>
      </c>
      <c r="K22" s="49">
        <f>(Tabela14[[#This Row],[REGIÃO01-3%]]*0.06)+Tabela14[[#This Row],[REGIÃO01-3%]]</f>
        <v>17.663234285714285</v>
      </c>
      <c r="L22" s="50">
        <f>(Tabela14[[#This Row],[PRECO 3%]]*0.05)+Tabela14[[#This Row],[PRECO 3%]]</f>
        <v>15.906000000000001</v>
      </c>
      <c r="M22" s="50">
        <f>(Tabela14[[#This Row],[REGIÃO02 - 3%]]*0.06)+Tabela14[[#This Row],[REGIÃO02 - 3%]]</f>
        <v>16.86036</v>
      </c>
      <c r="N22" s="51">
        <f>(Tabela14[[#This Row],[PRECO 3%]]*0.08)+Tabela14[[#This Row],[PRECO 3%]]</f>
        <v>16.360457142857143</v>
      </c>
      <c r="O22" s="51">
        <f>(Tabela14[[#This Row],[REGIÃO03-3%]]*0.06)+Tabela14[[#This Row],[REGIÃO03-3%]]</f>
        <v>17.342084571428572</v>
      </c>
      <c r="P22" s="52">
        <f>(Tabela14[[#This Row],[PRECO 3%]]*0.06)+Tabela14[[#This Row],[PRECO 3%]]</f>
        <v>16.057485714285715</v>
      </c>
      <c r="Q22" s="34">
        <f>(Tabela14[[#This Row],[REGIÃO04-3%]]*0.06)+Tabela14[[#This Row],[REGIÃO04-3%]]</f>
        <v>17.020934857142858</v>
      </c>
    </row>
    <row r="23" spans="1:17" x14ac:dyDescent="0.25">
      <c r="A23">
        <v>53</v>
      </c>
      <c r="B23" t="s">
        <v>14</v>
      </c>
      <c r="C23" t="s">
        <v>15</v>
      </c>
      <c r="D23" t="s">
        <v>8</v>
      </c>
      <c r="E23" s="1" t="s">
        <v>328</v>
      </c>
      <c r="F23">
        <f>VLOOKUP(Tabela14[[#This Row],[ID_COD]],Tabela2[],6,0)</f>
        <v>0</v>
      </c>
      <c r="G23" t="s">
        <v>265</v>
      </c>
      <c r="H23" s="46">
        <v>15.837142857142858</v>
      </c>
      <c r="I23" s="47">
        <f>Tabela14[[#This Row],[PRECO 3%]]+(Tabela14[[#This Row],[PRECO 3%]]*0.06)</f>
        <v>16.787371428571429</v>
      </c>
      <c r="J23" s="49">
        <f>(Tabela14[[#This Row],[PRECO 3%]]*0.1)+Tabela14[[#This Row],[PRECO 3%]]</f>
        <v>17.420857142857145</v>
      </c>
      <c r="K23" s="49">
        <f>(Tabela14[[#This Row],[REGIÃO01-3%]]*0.06)+Tabela14[[#This Row],[REGIÃO01-3%]]</f>
        <v>18.466108571428574</v>
      </c>
      <c r="L23" s="50">
        <f>(Tabela14[[#This Row],[PRECO 3%]]*0.05)+Tabela14[[#This Row],[PRECO 3%]]</f>
        <v>16.629000000000001</v>
      </c>
      <c r="M23" s="50">
        <f>(Tabela14[[#This Row],[REGIÃO02 - 3%]]*0.06)+Tabela14[[#This Row],[REGIÃO02 - 3%]]</f>
        <v>17.626740000000002</v>
      </c>
      <c r="N23" s="51">
        <f>(Tabela14[[#This Row],[PRECO 3%]]*0.08)+Tabela14[[#This Row],[PRECO 3%]]</f>
        <v>17.104114285714285</v>
      </c>
      <c r="O23" s="51">
        <f>(Tabela14[[#This Row],[REGIÃO03-3%]]*0.06)+Tabela14[[#This Row],[REGIÃO03-3%]]</f>
        <v>18.130361142857144</v>
      </c>
      <c r="P23" s="52">
        <f>(Tabela14[[#This Row],[PRECO 3%]]*0.06)+Tabela14[[#This Row],[PRECO 3%]]</f>
        <v>16.787371428571429</v>
      </c>
      <c r="Q23" s="34">
        <f>(Tabela14[[#This Row],[REGIÃO04-3%]]*0.06)+Tabela14[[#This Row],[REGIÃO04-3%]]</f>
        <v>17.794613714285717</v>
      </c>
    </row>
    <row r="24" spans="1:17" x14ac:dyDescent="0.25">
      <c r="A24">
        <v>54</v>
      </c>
      <c r="B24" t="s">
        <v>14</v>
      </c>
      <c r="C24" t="s">
        <v>15</v>
      </c>
      <c r="D24" t="s">
        <v>8</v>
      </c>
      <c r="E24" s="1" t="s">
        <v>329</v>
      </c>
      <c r="F24">
        <f>VLOOKUP(Tabela14[[#This Row],[ID_COD]],Tabela2[],6,0)</f>
        <v>0</v>
      </c>
      <c r="G24" t="s">
        <v>269</v>
      </c>
      <c r="H24" s="46">
        <v>16.525714285714287</v>
      </c>
      <c r="I24" s="47">
        <f>Tabela14[[#This Row],[PRECO 3%]]+(Tabela14[[#This Row],[PRECO 3%]]*0.06)</f>
        <v>17.517257142857144</v>
      </c>
      <c r="J24" s="49">
        <f>(Tabela14[[#This Row],[PRECO 3%]]*0.1)+Tabela14[[#This Row],[PRECO 3%]]</f>
        <v>18.178285714285714</v>
      </c>
      <c r="K24" s="49">
        <f>(Tabela14[[#This Row],[REGIÃO01-3%]]*0.06)+Tabela14[[#This Row],[REGIÃO01-3%]]</f>
        <v>19.268982857142856</v>
      </c>
      <c r="L24" s="50">
        <f>(Tabela14[[#This Row],[PRECO 3%]]*0.05)+Tabela14[[#This Row],[PRECO 3%]]</f>
        <v>17.352</v>
      </c>
      <c r="M24" s="50">
        <f>(Tabela14[[#This Row],[REGIÃO02 - 3%]]*0.06)+Tabela14[[#This Row],[REGIÃO02 - 3%]]</f>
        <v>18.39312</v>
      </c>
      <c r="N24" s="51">
        <f>(Tabela14[[#This Row],[PRECO 3%]]*0.08)+Tabela14[[#This Row],[PRECO 3%]]</f>
        <v>17.847771428571431</v>
      </c>
      <c r="O24" s="51">
        <f>(Tabela14[[#This Row],[REGIÃO03-3%]]*0.06)+Tabela14[[#This Row],[REGIÃO03-3%]]</f>
        <v>18.918637714285715</v>
      </c>
      <c r="P24" s="52">
        <f>(Tabela14[[#This Row],[PRECO 3%]]*0.06)+Tabela14[[#This Row],[PRECO 3%]]</f>
        <v>17.517257142857144</v>
      </c>
      <c r="Q24" s="34">
        <f>(Tabela14[[#This Row],[REGIÃO04-3%]]*0.06)+Tabela14[[#This Row],[REGIÃO04-3%]]</f>
        <v>18.568292571428572</v>
      </c>
    </row>
    <row r="25" spans="1:17" x14ac:dyDescent="0.25">
      <c r="A25">
        <v>55</v>
      </c>
      <c r="B25" t="s">
        <v>14</v>
      </c>
      <c r="C25" t="s">
        <v>15</v>
      </c>
      <c r="D25" t="s">
        <v>8</v>
      </c>
      <c r="E25" s="1" t="s">
        <v>330</v>
      </c>
      <c r="F25">
        <f>VLOOKUP(Tabela14[[#This Row],[ID_COD]],Tabela2[],6,0)</f>
        <v>30</v>
      </c>
      <c r="G25" t="s">
        <v>270</v>
      </c>
      <c r="H25" s="46">
        <v>17.214285714285715</v>
      </c>
      <c r="I25" s="47">
        <f>Tabela14[[#This Row],[PRECO 3%]]+(Tabela14[[#This Row],[PRECO 3%]]*0.06)</f>
        <v>18.247142857142858</v>
      </c>
      <c r="J25" s="49">
        <f>(Tabela14[[#This Row],[PRECO 3%]]*0.1)+Tabela14[[#This Row],[PRECO 3%]]</f>
        <v>18.935714285714287</v>
      </c>
      <c r="K25" s="49">
        <f>(Tabela14[[#This Row],[REGIÃO01-3%]]*0.06)+Tabela14[[#This Row],[REGIÃO01-3%]]</f>
        <v>20.071857142857144</v>
      </c>
      <c r="L25" s="50">
        <f>(Tabela14[[#This Row],[PRECO 3%]]*0.05)+Tabela14[[#This Row],[PRECO 3%]]</f>
        <v>18.075000000000003</v>
      </c>
      <c r="M25" s="50">
        <f>(Tabela14[[#This Row],[REGIÃO02 - 3%]]*0.06)+Tabela14[[#This Row],[REGIÃO02 - 3%]]</f>
        <v>19.159500000000001</v>
      </c>
      <c r="N25" s="51">
        <f>(Tabela14[[#This Row],[PRECO 3%]]*0.08)+Tabela14[[#This Row],[PRECO 3%]]</f>
        <v>18.591428571428573</v>
      </c>
      <c r="O25" s="51">
        <f>(Tabela14[[#This Row],[REGIÃO03-3%]]*0.06)+Tabela14[[#This Row],[REGIÃO03-3%]]</f>
        <v>19.706914285714287</v>
      </c>
      <c r="P25" s="52">
        <f>(Tabela14[[#This Row],[PRECO 3%]]*0.06)+Tabela14[[#This Row],[PRECO 3%]]</f>
        <v>18.247142857142858</v>
      </c>
      <c r="Q25" s="34">
        <f>(Tabela14[[#This Row],[REGIÃO04-3%]]*0.06)+Tabela14[[#This Row],[REGIÃO04-3%]]</f>
        <v>19.34197142857143</v>
      </c>
    </row>
    <row r="26" spans="1:17" x14ac:dyDescent="0.25">
      <c r="A26">
        <v>56</v>
      </c>
      <c r="B26" t="s">
        <v>14</v>
      </c>
      <c r="C26" t="s">
        <v>15</v>
      </c>
      <c r="D26" t="s">
        <v>8</v>
      </c>
      <c r="E26" s="1" t="s">
        <v>262</v>
      </c>
      <c r="F26">
        <f>VLOOKUP(Tabela14[[#This Row],[ID_COD]],Tabela2[],6,0)</f>
        <v>0</v>
      </c>
      <c r="G26" t="s">
        <v>271</v>
      </c>
      <c r="H26" s="46">
        <v>17.902857142857144</v>
      </c>
      <c r="I26" s="47">
        <f>Tabela14[[#This Row],[PRECO 3%]]+(Tabela14[[#This Row],[PRECO 3%]]*0.06)</f>
        <v>18.977028571428573</v>
      </c>
      <c r="J26" s="49">
        <f>(Tabela14[[#This Row],[PRECO 3%]]*0.1)+Tabela14[[#This Row],[PRECO 3%]]</f>
        <v>19.69314285714286</v>
      </c>
      <c r="K26" s="49">
        <f>(Tabela14[[#This Row],[REGIÃO01-3%]]*0.06)+Tabela14[[#This Row],[REGIÃO01-3%]]</f>
        <v>20.87473142857143</v>
      </c>
      <c r="L26" s="50">
        <f>(Tabela14[[#This Row],[PRECO 3%]]*0.05)+Tabela14[[#This Row],[PRECO 3%]]</f>
        <v>18.798000000000002</v>
      </c>
      <c r="M26" s="50">
        <f>(Tabela14[[#This Row],[REGIÃO02 - 3%]]*0.06)+Tabela14[[#This Row],[REGIÃO02 - 3%]]</f>
        <v>19.925880000000003</v>
      </c>
      <c r="N26" s="51">
        <f>(Tabela14[[#This Row],[PRECO 3%]]*0.08)+Tabela14[[#This Row],[PRECO 3%]]</f>
        <v>19.335085714285714</v>
      </c>
      <c r="O26" s="51">
        <f>(Tabela14[[#This Row],[REGIÃO03-3%]]*0.06)+Tabela14[[#This Row],[REGIÃO03-3%]]</f>
        <v>20.495190857142859</v>
      </c>
      <c r="P26" s="52">
        <f>(Tabela14[[#This Row],[PRECO 3%]]*0.06)+Tabela14[[#This Row],[PRECO 3%]]</f>
        <v>18.977028571428573</v>
      </c>
      <c r="Q26" s="34">
        <f>(Tabela14[[#This Row],[REGIÃO04-3%]]*0.06)+Tabela14[[#This Row],[REGIÃO04-3%]]</f>
        <v>20.115650285714288</v>
      </c>
    </row>
    <row r="27" spans="1:17" x14ac:dyDescent="0.25">
      <c r="A27">
        <v>57</v>
      </c>
      <c r="B27" t="s">
        <v>14</v>
      </c>
      <c r="C27" t="s">
        <v>15</v>
      </c>
      <c r="D27" t="s">
        <v>8</v>
      </c>
      <c r="E27" s="1" t="s">
        <v>222</v>
      </c>
      <c r="F27">
        <f>VLOOKUP(Tabela14[[#This Row],[ID_COD]],Tabela2[],6,0)</f>
        <v>0</v>
      </c>
      <c r="G27" t="s">
        <v>272</v>
      </c>
      <c r="H27" s="46">
        <v>18.591428571428573</v>
      </c>
      <c r="I27" s="47">
        <f>Tabela14[[#This Row],[PRECO 3%]]+(Tabela14[[#This Row],[PRECO 3%]]*0.06)</f>
        <v>19.706914285714287</v>
      </c>
      <c r="J27" s="49">
        <f>(Tabela14[[#This Row],[PRECO 3%]]*0.1)+Tabela14[[#This Row],[PRECO 3%]]</f>
        <v>20.450571428571429</v>
      </c>
      <c r="K27" s="49">
        <f>(Tabela14[[#This Row],[REGIÃO01-3%]]*0.06)+Tabela14[[#This Row],[REGIÃO01-3%]]</f>
        <v>21.677605714285715</v>
      </c>
      <c r="L27" s="50">
        <f>(Tabela14[[#This Row],[PRECO 3%]]*0.05)+Tabela14[[#This Row],[PRECO 3%]]</f>
        <v>19.521000000000001</v>
      </c>
      <c r="M27" s="50">
        <f>(Tabela14[[#This Row],[REGIÃO02 - 3%]]*0.06)+Tabela14[[#This Row],[REGIÃO02 - 3%]]</f>
        <v>20.692260000000001</v>
      </c>
      <c r="N27" s="51">
        <f>(Tabela14[[#This Row],[PRECO 3%]]*0.08)+Tabela14[[#This Row],[PRECO 3%]]</f>
        <v>20.07874285714286</v>
      </c>
      <c r="O27" s="51">
        <f>(Tabela14[[#This Row],[REGIÃO03-3%]]*0.06)+Tabela14[[#This Row],[REGIÃO03-3%]]</f>
        <v>21.283467428571431</v>
      </c>
      <c r="P27" s="52">
        <f>(Tabela14[[#This Row],[PRECO 3%]]*0.06)+Tabela14[[#This Row],[PRECO 3%]]</f>
        <v>19.706914285714287</v>
      </c>
      <c r="Q27" s="34">
        <f>(Tabela14[[#This Row],[REGIÃO04-3%]]*0.06)+Tabela14[[#This Row],[REGIÃO04-3%]]</f>
        <v>20.889329142857143</v>
      </c>
    </row>
    <row r="28" spans="1:17" x14ac:dyDescent="0.25">
      <c r="A28">
        <v>58</v>
      </c>
      <c r="B28" t="s">
        <v>14</v>
      </c>
      <c r="C28" t="s">
        <v>15</v>
      </c>
      <c r="D28" t="s">
        <v>8</v>
      </c>
      <c r="E28" s="1" t="s">
        <v>243</v>
      </c>
      <c r="F28">
        <f>VLOOKUP(Tabela14[[#This Row],[ID_COD]],Tabela2[],6,0)</f>
        <v>0</v>
      </c>
      <c r="G28" t="s">
        <v>273</v>
      </c>
      <c r="H28" s="46">
        <v>19.28</v>
      </c>
      <c r="I28" s="47">
        <f>Tabela14[[#This Row],[PRECO 3%]]+(Tabela14[[#This Row],[PRECO 3%]]*0.06)</f>
        <v>20.436800000000002</v>
      </c>
      <c r="J28" s="49">
        <f>(Tabela14[[#This Row],[PRECO 3%]]*0.1)+Tabela14[[#This Row],[PRECO 3%]]</f>
        <v>21.208000000000002</v>
      </c>
      <c r="K28" s="49">
        <f>(Tabela14[[#This Row],[REGIÃO01-3%]]*0.06)+Tabela14[[#This Row],[REGIÃO01-3%]]</f>
        <v>22.480480000000004</v>
      </c>
      <c r="L28" s="50">
        <f>(Tabela14[[#This Row],[PRECO 3%]]*0.05)+Tabela14[[#This Row],[PRECO 3%]]</f>
        <v>20.244</v>
      </c>
      <c r="M28" s="50">
        <f>(Tabela14[[#This Row],[REGIÃO02 - 3%]]*0.06)+Tabela14[[#This Row],[REGIÃO02 - 3%]]</f>
        <v>21.458639999999999</v>
      </c>
      <c r="N28" s="51">
        <f>(Tabela14[[#This Row],[PRECO 3%]]*0.08)+Tabela14[[#This Row],[PRECO 3%]]</f>
        <v>20.822400000000002</v>
      </c>
      <c r="O28" s="51">
        <f>(Tabela14[[#This Row],[REGIÃO03-3%]]*0.06)+Tabela14[[#This Row],[REGIÃO03-3%]]</f>
        <v>22.071744000000002</v>
      </c>
      <c r="P28" s="52">
        <f>(Tabela14[[#This Row],[PRECO 3%]]*0.06)+Tabela14[[#This Row],[PRECO 3%]]</f>
        <v>20.436800000000002</v>
      </c>
      <c r="Q28" s="34">
        <f>(Tabela14[[#This Row],[REGIÃO04-3%]]*0.06)+Tabela14[[#This Row],[REGIÃO04-3%]]</f>
        <v>21.663008000000001</v>
      </c>
    </row>
    <row r="29" spans="1:17" x14ac:dyDescent="0.25">
      <c r="A29">
        <v>59</v>
      </c>
      <c r="B29" t="s">
        <v>14</v>
      </c>
      <c r="C29" t="s">
        <v>15</v>
      </c>
      <c r="D29" t="s">
        <v>8</v>
      </c>
      <c r="E29" s="1" t="s">
        <v>180</v>
      </c>
      <c r="F29">
        <f>VLOOKUP(Tabela14[[#This Row],[ID_COD]],Tabela2[],6,0)</f>
        <v>32</v>
      </c>
      <c r="G29" t="s">
        <v>274</v>
      </c>
      <c r="H29" s="46">
        <v>19.96857142857143</v>
      </c>
      <c r="I29" s="47">
        <f>Tabela14[[#This Row],[PRECO 3%]]+(Tabela14[[#This Row],[PRECO 3%]]*0.06)</f>
        <v>21.166685714285716</v>
      </c>
      <c r="J29" s="49">
        <f>(Tabela14[[#This Row],[PRECO 3%]]*0.1)+Tabela14[[#This Row],[PRECO 3%]]</f>
        <v>21.965428571428571</v>
      </c>
      <c r="K29" s="49">
        <f>(Tabela14[[#This Row],[REGIÃO01-3%]]*0.06)+Tabela14[[#This Row],[REGIÃO01-3%]]</f>
        <v>23.283354285714285</v>
      </c>
      <c r="L29" s="50">
        <f>(Tabela14[[#This Row],[PRECO 3%]]*0.05)+Tabela14[[#This Row],[PRECO 3%]]</f>
        <v>20.967000000000002</v>
      </c>
      <c r="M29" s="50">
        <f>(Tabela14[[#This Row],[REGIÃO02 - 3%]]*0.06)+Tabela14[[#This Row],[REGIÃO02 - 3%]]</f>
        <v>22.225020000000001</v>
      </c>
      <c r="N29" s="51">
        <f>(Tabela14[[#This Row],[PRECO 3%]]*0.08)+Tabela14[[#This Row],[PRECO 3%]]</f>
        <v>21.566057142857144</v>
      </c>
      <c r="O29" s="51">
        <f>(Tabela14[[#This Row],[REGIÃO03-3%]]*0.06)+Tabela14[[#This Row],[REGIÃO03-3%]]</f>
        <v>22.860020571428571</v>
      </c>
      <c r="P29" s="52">
        <f>(Tabela14[[#This Row],[PRECO 3%]]*0.06)+Tabela14[[#This Row],[PRECO 3%]]</f>
        <v>21.166685714285716</v>
      </c>
      <c r="Q29" s="34">
        <f>(Tabela14[[#This Row],[REGIÃO04-3%]]*0.06)+Tabela14[[#This Row],[REGIÃO04-3%]]</f>
        <v>22.43668685714286</v>
      </c>
    </row>
    <row r="30" spans="1:17" x14ac:dyDescent="0.25">
      <c r="A30">
        <v>60</v>
      </c>
      <c r="B30" t="s">
        <v>14</v>
      </c>
      <c r="C30" t="s">
        <v>15</v>
      </c>
      <c r="D30" t="s">
        <v>8</v>
      </c>
      <c r="E30" s="1" t="s">
        <v>233</v>
      </c>
      <c r="F30">
        <f>VLOOKUP(Tabela14[[#This Row],[ID_COD]],Tabela2[],6,0)</f>
        <v>0</v>
      </c>
      <c r="G30" t="s">
        <v>275</v>
      </c>
      <c r="H30" s="46">
        <v>20.657142857142858</v>
      </c>
      <c r="I30" s="47">
        <f>Tabela14[[#This Row],[PRECO 3%]]+(Tabela14[[#This Row],[PRECO 3%]]*0.06)</f>
        <v>21.896571428571431</v>
      </c>
      <c r="J30" s="49">
        <f>(Tabela14[[#This Row],[PRECO 3%]]*0.1)+Tabela14[[#This Row],[PRECO 3%]]</f>
        <v>22.722857142857144</v>
      </c>
      <c r="K30" s="49">
        <f>(Tabela14[[#This Row],[REGIÃO01-3%]]*0.06)+Tabela14[[#This Row],[REGIÃO01-3%]]</f>
        <v>24.086228571428574</v>
      </c>
      <c r="L30" s="50">
        <f>(Tabela14[[#This Row],[PRECO 3%]]*0.05)+Tabela14[[#This Row],[PRECO 3%]]</f>
        <v>21.69</v>
      </c>
      <c r="M30" s="50">
        <f>(Tabela14[[#This Row],[REGIÃO02 - 3%]]*0.06)+Tabela14[[#This Row],[REGIÃO02 - 3%]]</f>
        <v>22.991400000000002</v>
      </c>
      <c r="N30" s="51">
        <f>(Tabela14[[#This Row],[PRECO 3%]]*0.08)+Tabela14[[#This Row],[PRECO 3%]]</f>
        <v>22.309714285714286</v>
      </c>
      <c r="O30" s="51">
        <f>(Tabela14[[#This Row],[REGIÃO03-3%]]*0.06)+Tabela14[[#This Row],[REGIÃO03-3%]]</f>
        <v>23.648297142857142</v>
      </c>
      <c r="P30" s="52">
        <f>(Tabela14[[#This Row],[PRECO 3%]]*0.06)+Tabela14[[#This Row],[PRECO 3%]]</f>
        <v>21.896571428571431</v>
      </c>
      <c r="Q30" s="34">
        <f>(Tabela14[[#This Row],[REGIÃO04-3%]]*0.06)+Tabela14[[#This Row],[REGIÃO04-3%]]</f>
        <v>23.210365714285714</v>
      </c>
    </row>
    <row r="31" spans="1:17" x14ac:dyDescent="0.25">
      <c r="A31">
        <v>61</v>
      </c>
      <c r="B31" t="s">
        <v>14</v>
      </c>
      <c r="C31" t="s">
        <v>15</v>
      </c>
      <c r="D31" t="s">
        <v>8</v>
      </c>
      <c r="E31" s="1" t="s">
        <v>281</v>
      </c>
      <c r="F31">
        <f>VLOOKUP(Tabela14[[#This Row],[ID_COD]],Tabela2[],6,0)</f>
        <v>0</v>
      </c>
      <c r="G31" t="s">
        <v>276</v>
      </c>
      <c r="H31" s="46">
        <v>21.345714285714287</v>
      </c>
      <c r="I31" s="47">
        <f>Tabela14[[#This Row],[PRECO 3%]]+(Tabela14[[#This Row],[PRECO 3%]]*0.06)</f>
        <v>22.626457142857145</v>
      </c>
      <c r="J31" s="49">
        <f>(Tabela14[[#This Row],[PRECO 3%]]*0.1)+Tabela14[[#This Row],[PRECO 3%]]</f>
        <v>23.480285714285717</v>
      </c>
      <c r="K31" s="49">
        <f>(Tabela14[[#This Row],[REGIÃO01-3%]]*0.06)+Tabela14[[#This Row],[REGIÃO01-3%]]</f>
        <v>24.889102857142859</v>
      </c>
      <c r="L31" s="50">
        <f>(Tabela14[[#This Row],[PRECO 3%]]*0.05)+Tabela14[[#This Row],[PRECO 3%]]</f>
        <v>22.413</v>
      </c>
      <c r="M31" s="50">
        <f>(Tabela14[[#This Row],[REGIÃO02 - 3%]]*0.06)+Tabela14[[#This Row],[REGIÃO02 - 3%]]</f>
        <v>23.75778</v>
      </c>
      <c r="N31" s="51">
        <f>(Tabela14[[#This Row],[PRECO 3%]]*0.08)+Tabela14[[#This Row],[PRECO 3%]]</f>
        <v>23.053371428571431</v>
      </c>
      <c r="O31" s="51">
        <f>(Tabela14[[#This Row],[REGIÃO03-3%]]*0.06)+Tabela14[[#This Row],[REGIÃO03-3%]]</f>
        <v>24.436573714285718</v>
      </c>
      <c r="P31" s="52">
        <f>(Tabela14[[#This Row],[PRECO 3%]]*0.06)+Tabela14[[#This Row],[PRECO 3%]]</f>
        <v>22.626457142857145</v>
      </c>
      <c r="Q31" s="34">
        <f>(Tabela14[[#This Row],[REGIÃO04-3%]]*0.06)+Tabela14[[#This Row],[REGIÃO04-3%]]</f>
        <v>23.984044571428573</v>
      </c>
    </row>
    <row r="32" spans="1:17" x14ac:dyDescent="0.25">
      <c r="A32">
        <v>63</v>
      </c>
      <c r="B32" t="s">
        <v>16</v>
      </c>
      <c r="C32" t="s">
        <v>17</v>
      </c>
      <c r="D32" t="s">
        <v>8</v>
      </c>
      <c r="E32" s="1" t="s">
        <v>330</v>
      </c>
      <c r="F32">
        <f>VLOOKUP(Tabela14[[#This Row],[ID_COD]],Tabela2[],6,0)</f>
        <v>32</v>
      </c>
      <c r="G32" t="s">
        <v>283</v>
      </c>
      <c r="H32" s="46">
        <v>17.270833333333332</v>
      </c>
      <c r="I32" s="47">
        <f>Tabela14[[#This Row],[PRECO 3%]]+(Tabela14[[#This Row],[PRECO 3%]]*0.06)</f>
        <v>18.307083333333331</v>
      </c>
      <c r="J32" s="49">
        <f>(Tabela14[[#This Row],[PRECO 3%]]*0.1)+Tabela14[[#This Row],[PRECO 3%]]</f>
        <v>18.997916666666665</v>
      </c>
      <c r="K32" s="49">
        <f>(Tabela14[[#This Row],[REGIÃO01-3%]]*0.06)+Tabela14[[#This Row],[REGIÃO01-3%]]</f>
        <v>20.137791666666665</v>
      </c>
      <c r="L32" s="50">
        <f>(Tabela14[[#This Row],[PRECO 3%]]*0.05)+Tabela14[[#This Row],[PRECO 3%]]</f>
        <v>18.134374999999999</v>
      </c>
      <c r="M32" s="50">
        <f>(Tabela14[[#This Row],[REGIÃO02 - 3%]]*0.06)+Tabela14[[#This Row],[REGIÃO02 - 3%]]</f>
        <v>19.222437499999998</v>
      </c>
      <c r="N32" s="51">
        <f>(Tabela14[[#This Row],[PRECO 3%]]*0.08)+Tabela14[[#This Row],[PRECO 3%]]</f>
        <v>18.6525</v>
      </c>
      <c r="O32" s="51">
        <f>(Tabela14[[#This Row],[REGIÃO03-3%]]*0.06)+Tabela14[[#This Row],[REGIÃO03-3%]]</f>
        <v>19.771650000000001</v>
      </c>
      <c r="P32" s="52">
        <f>(Tabela14[[#This Row],[PRECO 3%]]*0.06)+Tabela14[[#This Row],[PRECO 3%]]</f>
        <v>18.307083333333331</v>
      </c>
      <c r="Q32" s="34">
        <f>(Tabela14[[#This Row],[REGIÃO04-3%]]*0.06)+Tabela14[[#This Row],[REGIÃO04-3%]]</f>
        <v>19.40550833333333</v>
      </c>
    </row>
    <row r="33" spans="1:17" x14ac:dyDescent="0.25">
      <c r="A33">
        <v>73</v>
      </c>
      <c r="B33" t="s">
        <v>19</v>
      </c>
      <c r="C33" t="s">
        <v>20</v>
      </c>
      <c r="D33" t="s">
        <v>9</v>
      </c>
      <c r="E33" s="1" t="s">
        <v>222</v>
      </c>
      <c r="F33">
        <f>VLOOKUP(Tabela14[[#This Row],[ID_COD]],Tabela2[],6,0)</f>
        <v>32</v>
      </c>
      <c r="G33" t="s">
        <v>304</v>
      </c>
      <c r="H33" s="46">
        <v>30.77</v>
      </c>
      <c r="I33" s="47">
        <f>Tabela14[[#This Row],[PRECO 3%]]+(Tabela14[[#This Row],[PRECO 3%]]*0.06)</f>
        <v>32.616199999999999</v>
      </c>
      <c r="J33" s="49">
        <f>(Tabela14[[#This Row],[PRECO 3%]]*0.1)+Tabela14[[#This Row],[PRECO 3%]]</f>
        <v>33.847000000000001</v>
      </c>
      <c r="K33" s="49">
        <f>(Tabela14[[#This Row],[REGIÃO01-3%]]*0.06)+Tabela14[[#This Row],[REGIÃO01-3%]]</f>
        <v>35.87782</v>
      </c>
      <c r="L33" s="50">
        <f>(Tabela14[[#This Row],[PRECO 3%]]*0.05)+Tabela14[[#This Row],[PRECO 3%]]</f>
        <v>32.308500000000002</v>
      </c>
      <c r="M33" s="50">
        <f>(Tabela14[[#This Row],[REGIÃO02 - 3%]]*0.06)+Tabela14[[#This Row],[REGIÃO02 - 3%]]</f>
        <v>34.247010000000003</v>
      </c>
      <c r="N33" s="51">
        <f>(Tabela14[[#This Row],[PRECO 3%]]*0.08)+Tabela14[[#This Row],[PRECO 3%]]</f>
        <v>33.2316</v>
      </c>
      <c r="O33" s="51">
        <f>(Tabela14[[#This Row],[REGIÃO03-3%]]*0.06)+Tabela14[[#This Row],[REGIÃO03-3%]]</f>
        <v>35.225496</v>
      </c>
      <c r="P33" s="52">
        <f>(Tabela14[[#This Row],[PRECO 3%]]*0.06)+Tabela14[[#This Row],[PRECO 3%]]</f>
        <v>32.616199999999999</v>
      </c>
      <c r="Q33" s="34">
        <f>(Tabela14[[#This Row],[REGIÃO04-3%]]*0.06)+Tabela14[[#This Row],[REGIÃO04-3%]]</f>
        <v>34.573172</v>
      </c>
    </row>
    <row r="34" spans="1:17" x14ac:dyDescent="0.25">
      <c r="A34">
        <v>74</v>
      </c>
      <c r="B34" t="s">
        <v>19</v>
      </c>
      <c r="C34" t="s">
        <v>20</v>
      </c>
      <c r="D34" t="s">
        <v>9</v>
      </c>
      <c r="E34" s="1" t="s">
        <v>243</v>
      </c>
      <c r="F34">
        <f>VLOOKUP(Tabela14[[#This Row],[ID_COD]],Tabela2[],6,0)</f>
        <v>0</v>
      </c>
      <c r="G34" t="s">
        <v>305</v>
      </c>
      <c r="H34" s="46">
        <v>31.909629629629631</v>
      </c>
      <c r="I34" s="47">
        <f>Tabela14[[#This Row],[PRECO 3%]]+(Tabela14[[#This Row],[PRECO 3%]]*0.06)</f>
        <v>33.824207407407407</v>
      </c>
      <c r="J34" s="49">
        <f>(Tabela14[[#This Row],[PRECO 3%]]*0.1)+Tabela14[[#This Row],[PRECO 3%]]</f>
        <v>35.100592592592591</v>
      </c>
      <c r="K34" s="49">
        <f>(Tabela14[[#This Row],[REGIÃO01-3%]]*0.06)+Tabela14[[#This Row],[REGIÃO01-3%]]</f>
        <v>37.206628148148148</v>
      </c>
      <c r="L34" s="50">
        <f>(Tabela14[[#This Row],[PRECO 3%]]*0.05)+Tabela14[[#This Row],[PRECO 3%]]</f>
        <v>33.505111111111113</v>
      </c>
      <c r="M34" s="50">
        <f>(Tabela14[[#This Row],[REGIÃO02 - 3%]]*0.06)+Tabela14[[#This Row],[REGIÃO02 - 3%]]</f>
        <v>35.515417777777778</v>
      </c>
      <c r="N34" s="51">
        <f>(Tabela14[[#This Row],[PRECO 3%]]*0.08)+Tabela14[[#This Row],[PRECO 3%]]</f>
        <v>34.462400000000002</v>
      </c>
      <c r="O34" s="51">
        <f>(Tabela14[[#This Row],[REGIÃO03-3%]]*0.06)+Tabela14[[#This Row],[REGIÃO03-3%]]</f>
        <v>36.530144</v>
      </c>
      <c r="P34" s="52">
        <f>(Tabela14[[#This Row],[PRECO 3%]]*0.06)+Tabela14[[#This Row],[PRECO 3%]]</f>
        <v>33.824207407407407</v>
      </c>
      <c r="Q34" s="34">
        <f>(Tabela14[[#This Row],[REGIÃO04-3%]]*0.06)+Tabela14[[#This Row],[REGIÃO04-3%]]</f>
        <v>35.853659851851852</v>
      </c>
    </row>
    <row r="35" spans="1:17" x14ac:dyDescent="0.25">
      <c r="A35">
        <v>75</v>
      </c>
      <c r="B35" t="s">
        <v>19</v>
      </c>
      <c r="C35" t="s">
        <v>20</v>
      </c>
      <c r="D35" t="s">
        <v>9</v>
      </c>
      <c r="E35" s="1" t="s">
        <v>180</v>
      </c>
      <c r="F35">
        <f>VLOOKUP(Tabela14[[#This Row],[ID_COD]],Tabela2[],6,0)</f>
        <v>32</v>
      </c>
      <c r="G35" t="s">
        <v>306</v>
      </c>
      <c r="H35" s="46">
        <v>33.049259259259259</v>
      </c>
      <c r="I35" s="47">
        <f>Tabela14[[#This Row],[PRECO 3%]]+(Tabela14[[#This Row],[PRECO 3%]]*0.06)</f>
        <v>35.032214814814814</v>
      </c>
      <c r="J35" s="49">
        <f>(Tabela14[[#This Row],[PRECO 3%]]*0.1)+Tabela14[[#This Row],[PRECO 3%]]</f>
        <v>36.354185185185187</v>
      </c>
      <c r="K35" s="49">
        <f>(Tabela14[[#This Row],[REGIÃO01-3%]]*0.06)+Tabela14[[#This Row],[REGIÃO01-3%]]</f>
        <v>38.535436296296297</v>
      </c>
      <c r="L35" s="50">
        <f>(Tabela14[[#This Row],[PRECO 3%]]*0.05)+Tabela14[[#This Row],[PRECO 3%]]</f>
        <v>34.701722222222223</v>
      </c>
      <c r="M35" s="50">
        <f>(Tabela14[[#This Row],[REGIÃO02 - 3%]]*0.06)+Tabela14[[#This Row],[REGIÃO02 - 3%]]</f>
        <v>36.783825555555559</v>
      </c>
      <c r="N35" s="51">
        <f>(Tabela14[[#This Row],[PRECO 3%]]*0.08)+Tabela14[[#This Row],[PRECO 3%]]</f>
        <v>35.693199999999997</v>
      </c>
      <c r="O35" s="51">
        <f>(Tabela14[[#This Row],[REGIÃO03-3%]]*0.06)+Tabela14[[#This Row],[REGIÃO03-3%]]</f>
        <v>37.834792</v>
      </c>
      <c r="P35" s="52">
        <f>(Tabela14[[#This Row],[PRECO 3%]]*0.06)+Tabela14[[#This Row],[PRECO 3%]]</f>
        <v>35.032214814814814</v>
      </c>
      <c r="Q35" s="34">
        <f>(Tabela14[[#This Row],[REGIÃO04-3%]]*0.06)+Tabela14[[#This Row],[REGIÃO04-3%]]</f>
        <v>37.134147703703704</v>
      </c>
    </row>
    <row r="36" spans="1:17" x14ac:dyDescent="0.25">
      <c r="A36">
        <v>76</v>
      </c>
      <c r="B36" t="s">
        <v>19</v>
      </c>
      <c r="C36" t="s">
        <v>20</v>
      </c>
      <c r="D36" t="s">
        <v>9</v>
      </c>
      <c r="E36" s="1" t="s">
        <v>233</v>
      </c>
      <c r="F36">
        <v>50</v>
      </c>
      <c r="G36" t="s">
        <v>307</v>
      </c>
      <c r="H36" s="46">
        <v>34.18888888888889</v>
      </c>
      <c r="I36" s="47">
        <f>Tabela14[[#This Row],[PRECO 3%]]+(Tabela14[[#This Row],[PRECO 3%]]*0.06)</f>
        <v>36.240222222222222</v>
      </c>
      <c r="J36" s="49">
        <f>(Tabela14[[#This Row],[PRECO 3%]]*0.1)+Tabela14[[#This Row],[PRECO 3%]]</f>
        <v>37.607777777777777</v>
      </c>
      <c r="K36" s="49">
        <f>(Tabela14[[#This Row],[REGIÃO01-3%]]*0.06)+Tabela14[[#This Row],[REGIÃO01-3%]]</f>
        <v>39.864244444444445</v>
      </c>
      <c r="L36" s="50">
        <f>(Tabela14[[#This Row],[PRECO 3%]]*0.05)+Tabela14[[#This Row],[PRECO 3%]]</f>
        <v>35.898333333333333</v>
      </c>
      <c r="M36" s="50">
        <f>(Tabela14[[#This Row],[REGIÃO02 - 3%]]*0.06)+Tabela14[[#This Row],[REGIÃO02 - 3%]]</f>
        <v>38.052233333333334</v>
      </c>
      <c r="N36" s="51">
        <f>(Tabela14[[#This Row],[PRECO 3%]]*0.08)+Tabela14[[#This Row],[PRECO 3%]]</f>
        <v>36.923999999999999</v>
      </c>
      <c r="O36" s="51">
        <f>(Tabela14[[#This Row],[REGIÃO03-3%]]*0.06)+Tabela14[[#This Row],[REGIÃO03-3%]]</f>
        <v>39.13944</v>
      </c>
      <c r="P36" s="52">
        <f>(Tabela14[[#This Row],[PRECO 3%]]*0.06)+Tabela14[[#This Row],[PRECO 3%]]</f>
        <v>36.240222222222222</v>
      </c>
      <c r="Q36" s="34">
        <f>(Tabela14[[#This Row],[REGIÃO04-3%]]*0.06)+Tabela14[[#This Row],[REGIÃO04-3%]]</f>
        <v>38.414635555555556</v>
      </c>
    </row>
    <row r="37" spans="1:17" x14ac:dyDescent="0.25">
      <c r="A37">
        <v>77</v>
      </c>
      <c r="B37" t="s">
        <v>19</v>
      </c>
      <c r="C37" t="s">
        <v>20</v>
      </c>
      <c r="D37" t="s">
        <v>9</v>
      </c>
      <c r="E37" s="1" t="s">
        <v>281</v>
      </c>
      <c r="F37">
        <f>VLOOKUP(Tabela14[[#This Row],[ID_COD]],Tabela2[],6,0)</f>
        <v>0</v>
      </c>
      <c r="G37" t="s">
        <v>309</v>
      </c>
      <c r="H37" s="46">
        <v>35.328518518518521</v>
      </c>
      <c r="I37" s="47">
        <f>Tabela14[[#This Row],[PRECO 3%]]+(Tabela14[[#This Row],[PRECO 3%]]*0.06)</f>
        <v>37.44822962962963</v>
      </c>
      <c r="J37" s="49">
        <f>(Tabela14[[#This Row],[PRECO 3%]]*0.1)+Tabela14[[#This Row],[PRECO 3%]]</f>
        <v>38.861370370370373</v>
      </c>
      <c r="K37" s="49">
        <f>(Tabela14[[#This Row],[REGIÃO01-3%]]*0.06)+Tabela14[[#This Row],[REGIÃO01-3%]]</f>
        <v>41.193052592592593</v>
      </c>
      <c r="L37" s="50">
        <f>(Tabela14[[#This Row],[PRECO 3%]]*0.05)+Tabela14[[#This Row],[PRECO 3%]]</f>
        <v>37.094944444444451</v>
      </c>
      <c r="M37" s="50">
        <f>(Tabela14[[#This Row],[REGIÃO02 - 3%]]*0.06)+Tabela14[[#This Row],[REGIÃO02 - 3%]]</f>
        <v>39.320641111111115</v>
      </c>
      <c r="N37" s="51">
        <f>(Tabela14[[#This Row],[PRECO 3%]]*0.08)+Tabela14[[#This Row],[PRECO 3%]]</f>
        <v>38.154800000000002</v>
      </c>
      <c r="O37" s="51">
        <f>(Tabela14[[#This Row],[REGIÃO03-3%]]*0.06)+Tabela14[[#This Row],[REGIÃO03-3%]]</f>
        <v>40.444088000000001</v>
      </c>
      <c r="P37" s="52">
        <f>(Tabela14[[#This Row],[PRECO 3%]]*0.06)+Tabela14[[#This Row],[PRECO 3%]]</f>
        <v>37.44822962962963</v>
      </c>
      <c r="Q37" s="34">
        <f>(Tabela14[[#This Row],[REGIÃO04-3%]]*0.06)+Tabela14[[#This Row],[REGIÃO04-3%]]</f>
        <v>39.695123407407408</v>
      </c>
    </row>
    <row r="38" spans="1:17" x14ac:dyDescent="0.25">
      <c r="A38">
        <v>78</v>
      </c>
      <c r="B38" t="s">
        <v>19</v>
      </c>
      <c r="C38" t="s">
        <v>20</v>
      </c>
      <c r="D38" t="s">
        <v>9</v>
      </c>
      <c r="E38" s="1" t="s">
        <v>299</v>
      </c>
      <c r="F38">
        <f>VLOOKUP(Tabela14[[#This Row],[ID_COD]],Tabela2[],6,0)</f>
        <v>0</v>
      </c>
      <c r="G38" t="s">
        <v>311</v>
      </c>
      <c r="H38" s="46">
        <v>36.468148148148146</v>
      </c>
      <c r="I38" s="47">
        <f>Tabela14[[#This Row],[PRECO 3%]]+(Tabela14[[#This Row],[PRECO 3%]]*0.06)</f>
        <v>38.656237037037037</v>
      </c>
      <c r="J38" s="49">
        <f>(Tabela14[[#This Row],[PRECO 3%]]*0.1)+Tabela14[[#This Row],[PRECO 3%]]</f>
        <v>40.114962962962963</v>
      </c>
      <c r="K38" s="49">
        <f>(Tabela14[[#This Row],[REGIÃO01-3%]]*0.06)+Tabela14[[#This Row],[REGIÃO01-3%]]</f>
        <v>42.521860740740742</v>
      </c>
      <c r="L38" s="50">
        <f>(Tabela14[[#This Row],[PRECO 3%]]*0.05)+Tabela14[[#This Row],[PRECO 3%]]</f>
        <v>38.291555555555554</v>
      </c>
      <c r="M38" s="50">
        <f>(Tabela14[[#This Row],[REGIÃO02 - 3%]]*0.06)+Tabela14[[#This Row],[REGIÃO02 - 3%]]</f>
        <v>40.58904888888889</v>
      </c>
      <c r="N38" s="51">
        <f>(Tabela14[[#This Row],[PRECO 3%]]*0.08)+Tabela14[[#This Row],[PRECO 3%]]</f>
        <v>39.385599999999997</v>
      </c>
      <c r="O38" s="51">
        <f>(Tabela14[[#This Row],[REGIÃO03-3%]]*0.06)+Tabela14[[#This Row],[REGIÃO03-3%]]</f>
        <v>41.748735999999994</v>
      </c>
      <c r="P38" s="52">
        <f>(Tabela14[[#This Row],[PRECO 3%]]*0.06)+Tabela14[[#This Row],[PRECO 3%]]</f>
        <v>38.656237037037037</v>
      </c>
      <c r="Q38" s="34">
        <f>(Tabela14[[#This Row],[REGIÃO04-3%]]*0.06)+Tabela14[[#This Row],[REGIÃO04-3%]]</f>
        <v>40.97561125925926</v>
      </c>
    </row>
    <row r="39" spans="1:17" x14ac:dyDescent="0.25">
      <c r="A39">
        <v>79</v>
      </c>
      <c r="B39" t="s">
        <v>19</v>
      </c>
      <c r="C39" t="s">
        <v>20</v>
      </c>
      <c r="D39" t="s">
        <v>9</v>
      </c>
      <c r="E39" s="1" t="s">
        <v>316</v>
      </c>
      <c r="F39">
        <f>VLOOKUP(Tabela14[[#This Row],[ID_COD]],Tabela2[],6,0)</f>
        <v>0</v>
      </c>
      <c r="G39" t="s">
        <v>312</v>
      </c>
      <c r="H39" s="46">
        <v>37.607777777777777</v>
      </c>
      <c r="I39" s="47">
        <f>Tabela14[[#This Row],[PRECO 3%]]+(Tabela14[[#This Row],[PRECO 3%]]*0.06)</f>
        <v>39.864244444444445</v>
      </c>
      <c r="J39" s="49">
        <f>(Tabela14[[#This Row],[PRECO 3%]]*0.1)+Tabela14[[#This Row],[PRECO 3%]]</f>
        <v>41.368555555555552</v>
      </c>
      <c r="K39" s="49">
        <f>(Tabela14[[#This Row],[REGIÃO01-3%]]*0.06)+Tabela14[[#This Row],[REGIÃO01-3%]]</f>
        <v>43.850668888888883</v>
      </c>
      <c r="L39" s="50">
        <f>(Tabela14[[#This Row],[PRECO 3%]]*0.05)+Tabela14[[#This Row],[PRECO 3%]]</f>
        <v>39.488166666666665</v>
      </c>
      <c r="M39" s="50">
        <f>(Tabela14[[#This Row],[REGIÃO02 - 3%]]*0.06)+Tabela14[[#This Row],[REGIÃO02 - 3%]]</f>
        <v>41.857456666666664</v>
      </c>
      <c r="N39" s="51">
        <f>(Tabela14[[#This Row],[PRECO 3%]]*0.08)+Tabela14[[#This Row],[PRECO 3%]]</f>
        <v>40.616399999999999</v>
      </c>
      <c r="O39" s="51">
        <f>(Tabela14[[#This Row],[REGIÃO03-3%]]*0.06)+Tabela14[[#This Row],[REGIÃO03-3%]]</f>
        <v>43.053384000000001</v>
      </c>
      <c r="P39" s="52">
        <f>(Tabela14[[#This Row],[PRECO 3%]]*0.06)+Tabela14[[#This Row],[PRECO 3%]]</f>
        <v>39.864244444444445</v>
      </c>
      <c r="Q39" s="34">
        <f>(Tabela14[[#This Row],[REGIÃO04-3%]]*0.06)+Tabela14[[#This Row],[REGIÃO04-3%]]</f>
        <v>42.256099111111112</v>
      </c>
    </row>
    <row r="40" spans="1:17" x14ac:dyDescent="0.25">
      <c r="A40">
        <v>80</v>
      </c>
      <c r="B40" t="s">
        <v>19</v>
      </c>
      <c r="C40" t="s">
        <v>20</v>
      </c>
      <c r="D40" t="s">
        <v>9</v>
      </c>
      <c r="E40" s="1" t="s">
        <v>285</v>
      </c>
      <c r="F40">
        <f>VLOOKUP(Tabela14[[#This Row],[ID_COD]],Tabela2[],6,0)</f>
        <v>0</v>
      </c>
      <c r="G40" t="s">
        <v>313</v>
      </c>
      <c r="H40" s="46">
        <v>38.747407407407408</v>
      </c>
      <c r="I40" s="47">
        <f>Tabela14[[#This Row],[PRECO 3%]]+(Tabela14[[#This Row],[PRECO 3%]]*0.06)</f>
        <v>41.072251851851853</v>
      </c>
      <c r="J40" s="49">
        <f>(Tabela14[[#This Row],[PRECO 3%]]*0.1)+Tabela14[[#This Row],[PRECO 3%]]</f>
        <v>42.622148148148149</v>
      </c>
      <c r="K40" s="49">
        <f>(Tabela14[[#This Row],[REGIÃO01-3%]]*0.06)+Tabela14[[#This Row],[REGIÃO01-3%]]</f>
        <v>45.179477037037039</v>
      </c>
      <c r="L40" s="50">
        <f>(Tabela14[[#This Row],[PRECO 3%]]*0.05)+Tabela14[[#This Row],[PRECO 3%]]</f>
        <v>40.684777777777782</v>
      </c>
      <c r="M40" s="50">
        <f>(Tabela14[[#This Row],[REGIÃO02 - 3%]]*0.06)+Tabela14[[#This Row],[REGIÃO02 - 3%]]</f>
        <v>43.125864444444446</v>
      </c>
      <c r="N40" s="51">
        <f>(Tabela14[[#This Row],[PRECO 3%]]*0.08)+Tabela14[[#This Row],[PRECO 3%]]</f>
        <v>41.847200000000001</v>
      </c>
      <c r="O40" s="51">
        <f>(Tabela14[[#This Row],[REGIÃO03-3%]]*0.06)+Tabela14[[#This Row],[REGIÃO03-3%]]</f>
        <v>44.358032000000001</v>
      </c>
      <c r="P40" s="52">
        <f>(Tabela14[[#This Row],[PRECO 3%]]*0.06)+Tabela14[[#This Row],[PRECO 3%]]</f>
        <v>41.072251851851853</v>
      </c>
      <c r="Q40" s="34">
        <f>(Tabela14[[#This Row],[REGIÃO04-3%]]*0.06)+Tabela14[[#This Row],[REGIÃO04-3%]]</f>
        <v>43.536586962962964</v>
      </c>
    </row>
    <row r="41" spans="1:17" x14ac:dyDescent="0.25">
      <c r="A41">
        <v>81</v>
      </c>
      <c r="B41" t="s">
        <v>21</v>
      </c>
      <c r="C41" t="s">
        <v>22</v>
      </c>
      <c r="D41" t="s">
        <v>4</v>
      </c>
      <c r="E41" s="1" t="s">
        <v>166</v>
      </c>
      <c r="F41">
        <f>VLOOKUP(Tabela14[[#This Row],[ID_COD]],Tabela2[],6,0)</f>
        <v>0</v>
      </c>
      <c r="G41" t="s">
        <v>187</v>
      </c>
      <c r="H41" s="46">
        <v>12.499047619047618</v>
      </c>
      <c r="I41" s="47">
        <f>Tabela14[[#This Row],[PRECO 3%]]+(Tabela14[[#This Row],[PRECO 3%]]*0.06)</f>
        <v>13.248990476190475</v>
      </c>
      <c r="J41" s="49">
        <f>(Tabela14[[#This Row],[PRECO 3%]]*0.1)+Tabela14[[#This Row],[PRECO 3%]]</f>
        <v>13.74895238095238</v>
      </c>
      <c r="K41" s="49">
        <f>(Tabela14[[#This Row],[REGIÃO01-3%]]*0.06)+Tabela14[[#This Row],[REGIÃO01-3%]]</f>
        <v>14.573889523809523</v>
      </c>
      <c r="L41" s="50">
        <f>(Tabela14[[#This Row],[PRECO 3%]]*0.05)+Tabela14[[#This Row],[PRECO 3%]]</f>
        <v>13.123999999999999</v>
      </c>
      <c r="M41" s="50">
        <f>(Tabela14[[#This Row],[REGIÃO02 - 3%]]*0.06)+Tabela14[[#This Row],[REGIÃO02 - 3%]]</f>
        <v>13.911439999999999</v>
      </c>
      <c r="N41" s="51">
        <f>(Tabela14[[#This Row],[PRECO 3%]]*0.08)+Tabela14[[#This Row],[PRECO 3%]]</f>
        <v>13.498971428571426</v>
      </c>
      <c r="O41" s="51">
        <f>(Tabela14[[#This Row],[REGIÃO03-3%]]*0.06)+Tabela14[[#This Row],[REGIÃO03-3%]]</f>
        <v>14.308909714285711</v>
      </c>
      <c r="P41" s="52">
        <f>(Tabela14[[#This Row],[PRECO 3%]]*0.06)+Tabela14[[#This Row],[PRECO 3%]]</f>
        <v>13.248990476190475</v>
      </c>
      <c r="Q41" s="34">
        <f>(Tabela14[[#This Row],[REGIÃO04-3%]]*0.06)+Tabela14[[#This Row],[REGIÃO04-3%]]</f>
        <v>14.043929904761903</v>
      </c>
    </row>
    <row r="42" spans="1:17" x14ac:dyDescent="0.25">
      <c r="A42">
        <v>82</v>
      </c>
      <c r="B42" t="s">
        <v>21</v>
      </c>
      <c r="C42" t="s">
        <v>22</v>
      </c>
      <c r="D42" t="s">
        <v>4</v>
      </c>
      <c r="E42" s="1" t="s">
        <v>323</v>
      </c>
      <c r="F42">
        <f>VLOOKUP(Tabela14[[#This Row],[ID_COD]],Tabela2[],6,0)</f>
        <v>33</v>
      </c>
      <c r="G42" t="s">
        <v>187</v>
      </c>
      <c r="H42" s="46">
        <v>13.234285714285713</v>
      </c>
      <c r="I42" s="47">
        <f>Tabela14[[#This Row],[PRECO 3%]]+(Tabela14[[#This Row],[PRECO 3%]]*0.06)</f>
        <v>14.028342857142857</v>
      </c>
      <c r="J42" s="49">
        <f>(Tabela14[[#This Row],[PRECO 3%]]*0.1)+Tabela14[[#This Row],[PRECO 3%]]</f>
        <v>14.557714285714285</v>
      </c>
      <c r="K42" s="49">
        <f>(Tabela14[[#This Row],[REGIÃO01-3%]]*0.06)+Tabela14[[#This Row],[REGIÃO01-3%]]</f>
        <v>15.431177142857141</v>
      </c>
      <c r="L42" s="50">
        <f>(Tabela14[[#This Row],[PRECO 3%]]*0.05)+Tabela14[[#This Row],[PRECO 3%]]</f>
        <v>13.895999999999999</v>
      </c>
      <c r="M42" s="50">
        <f>(Tabela14[[#This Row],[REGIÃO02 - 3%]]*0.06)+Tabela14[[#This Row],[REGIÃO02 - 3%]]</f>
        <v>14.729759999999999</v>
      </c>
      <c r="N42" s="51">
        <f>(Tabela14[[#This Row],[PRECO 3%]]*0.08)+Tabela14[[#This Row],[PRECO 3%]]</f>
        <v>14.29302857142857</v>
      </c>
      <c r="O42" s="51">
        <f>(Tabela14[[#This Row],[REGIÃO03-3%]]*0.06)+Tabela14[[#This Row],[REGIÃO03-3%]]</f>
        <v>15.150610285714285</v>
      </c>
      <c r="P42" s="52">
        <f>(Tabela14[[#This Row],[PRECO 3%]]*0.06)+Tabela14[[#This Row],[PRECO 3%]]</f>
        <v>14.028342857142857</v>
      </c>
      <c r="Q42" s="34">
        <f>(Tabela14[[#This Row],[REGIÃO04-3%]]*0.06)+Tabela14[[#This Row],[REGIÃO04-3%]]</f>
        <v>14.870043428571428</v>
      </c>
    </row>
    <row r="43" spans="1:17" x14ac:dyDescent="0.25">
      <c r="A43">
        <v>83</v>
      </c>
      <c r="B43" t="s">
        <v>21</v>
      </c>
      <c r="C43" t="s">
        <v>22</v>
      </c>
      <c r="D43" t="s">
        <v>4</v>
      </c>
      <c r="E43" s="1" t="s">
        <v>324</v>
      </c>
      <c r="F43">
        <f>VLOOKUP(Tabela14[[#This Row],[ID_COD]],Tabela2[],6,0)</f>
        <v>0</v>
      </c>
      <c r="G43" t="s">
        <v>187</v>
      </c>
      <c r="H43" s="46">
        <v>13.969523809523809</v>
      </c>
      <c r="I43" s="47">
        <f>Tabela14[[#This Row],[PRECO 3%]]+(Tabela14[[#This Row],[PRECO 3%]]*0.06)</f>
        <v>14.807695238095237</v>
      </c>
      <c r="J43" s="49">
        <f>(Tabela14[[#This Row],[PRECO 3%]]*0.1)+Tabela14[[#This Row],[PRECO 3%]]</f>
        <v>15.36647619047619</v>
      </c>
      <c r="K43" s="49">
        <f>(Tabela14[[#This Row],[REGIÃO01-3%]]*0.06)+Tabela14[[#This Row],[REGIÃO01-3%]]</f>
        <v>16.288464761904763</v>
      </c>
      <c r="L43" s="50">
        <f>(Tabela14[[#This Row],[PRECO 3%]]*0.05)+Tabela14[[#This Row],[PRECO 3%]]</f>
        <v>14.667999999999999</v>
      </c>
      <c r="M43" s="50">
        <f>(Tabela14[[#This Row],[REGIÃO02 - 3%]]*0.06)+Tabela14[[#This Row],[REGIÃO02 - 3%]]</f>
        <v>15.548079999999999</v>
      </c>
      <c r="N43" s="51">
        <f>(Tabela14[[#This Row],[PRECO 3%]]*0.08)+Tabela14[[#This Row],[PRECO 3%]]</f>
        <v>15.087085714285713</v>
      </c>
      <c r="O43" s="51">
        <f>(Tabela14[[#This Row],[REGIÃO03-3%]]*0.06)+Tabela14[[#This Row],[REGIÃO03-3%]]</f>
        <v>15.992310857142856</v>
      </c>
      <c r="P43" s="52">
        <f>(Tabela14[[#This Row],[PRECO 3%]]*0.06)+Tabela14[[#This Row],[PRECO 3%]]</f>
        <v>14.807695238095237</v>
      </c>
      <c r="Q43" s="34">
        <f>(Tabela14[[#This Row],[REGIÃO04-3%]]*0.06)+Tabela14[[#This Row],[REGIÃO04-3%]]</f>
        <v>15.696156952380951</v>
      </c>
    </row>
    <row r="44" spans="1:17" x14ac:dyDescent="0.25">
      <c r="A44">
        <v>84</v>
      </c>
      <c r="B44" t="s">
        <v>21</v>
      </c>
      <c r="C44" t="s">
        <v>22</v>
      </c>
      <c r="D44" t="s">
        <v>4</v>
      </c>
      <c r="E44" s="1" t="s">
        <v>325</v>
      </c>
      <c r="F44">
        <f>VLOOKUP(Tabela14[[#This Row],[ID_COD]],Tabela2[],6,0)</f>
        <v>36</v>
      </c>
      <c r="G44" t="s">
        <v>183</v>
      </c>
      <c r="H44" s="46">
        <v>14.704761904761904</v>
      </c>
      <c r="I44" s="47">
        <f>Tabela14[[#This Row],[PRECO 3%]]+(Tabela14[[#This Row],[PRECO 3%]]*0.06)</f>
        <v>15.587047619047619</v>
      </c>
      <c r="J44" s="49">
        <f>(Tabela14[[#This Row],[PRECO 3%]]*0.1)+Tabela14[[#This Row],[PRECO 3%]]</f>
        <v>16.175238095238093</v>
      </c>
      <c r="K44" s="49">
        <f>(Tabela14[[#This Row],[REGIÃO01-3%]]*0.06)+Tabela14[[#This Row],[REGIÃO01-3%]]</f>
        <v>17.145752380952377</v>
      </c>
      <c r="L44" s="50">
        <f>(Tabela14[[#This Row],[PRECO 3%]]*0.05)+Tabela14[[#This Row],[PRECO 3%]]</f>
        <v>15.44</v>
      </c>
      <c r="M44" s="50">
        <f>(Tabela14[[#This Row],[REGIÃO02 - 3%]]*0.06)+Tabela14[[#This Row],[REGIÃO02 - 3%]]</f>
        <v>16.366399999999999</v>
      </c>
      <c r="N44" s="51">
        <f>(Tabela14[[#This Row],[PRECO 3%]]*0.08)+Tabela14[[#This Row],[PRECO 3%]]</f>
        <v>15.881142857142857</v>
      </c>
      <c r="O44" s="51">
        <f>(Tabela14[[#This Row],[REGIÃO03-3%]]*0.06)+Tabela14[[#This Row],[REGIÃO03-3%]]</f>
        <v>16.834011428571429</v>
      </c>
      <c r="P44" s="52">
        <f>(Tabela14[[#This Row],[PRECO 3%]]*0.06)+Tabela14[[#This Row],[PRECO 3%]]</f>
        <v>15.587047619047619</v>
      </c>
      <c r="Q44" s="34">
        <f>(Tabela14[[#This Row],[REGIÃO04-3%]]*0.06)+Tabela14[[#This Row],[REGIÃO04-3%]]</f>
        <v>16.522270476190474</v>
      </c>
    </row>
    <row r="45" spans="1:17" x14ac:dyDescent="0.25">
      <c r="A45">
        <v>85</v>
      </c>
      <c r="B45" t="s">
        <v>21</v>
      </c>
      <c r="C45" t="s">
        <v>22</v>
      </c>
      <c r="D45" t="s">
        <v>4</v>
      </c>
      <c r="E45" s="1" t="s">
        <v>326</v>
      </c>
      <c r="F45">
        <f>VLOOKUP(Tabela14[[#This Row],[ID_COD]],Tabela2[],6,0)</f>
        <v>36</v>
      </c>
      <c r="G45" t="s">
        <v>187</v>
      </c>
      <c r="H45" s="46">
        <v>15.440000000000001</v>
      </c>
      <c r="I45" s="47">
        <f>Tabela14[[#This Row],[PRECO 3%]]+(Tabela14[[#This Row],[PRECO 3%]]*0.06)</f>
        <v>16.366400000000002</v>
      </c>
      <c r="J45" s="49">
        <f>(Tabela14[[#This Row],[PRECO 3%]]*0.1)+Tabela14[[#This Row],[PRECO 3%]]</f>
        <v>16.984000000000002</v>
      </c>
      <c r="K45" s="49">
        <f>(Tabela14[[#This Row],[REGIÃO01-3%]]*0.06)+Tabela14[[#This Row],[REGIÃO01-3%]]</f>
        <v>18.003040000000002</v>
      </c>
      <c r="L45" s="50">
        <f>(Tabela14[[#This Row],[PRECO 3%]]*0.05)+Tabela14[[#This Row],[PRECO 3%]]</f>
        <v>16.212</v>
      </c>
      <c r="M45" s="50">
        <f>(Tabela14[[#This Row],[REGIÃO02 - 3%]]*0.06)+Tabela14[[#This Row],[REGIÃO02 - 3%]]</f>
        <v>17.184719999999999</v>
      </c>
      <c r="N45" s="51">
        <f>(Tabela14[[#This Row],[PRECO 3%]]*0.08)+Tabela14[[#This Row],[PRECO 3%]]</f>
        <v>16.6752</v>
      </c>
      <c r="O45" s="51">
        <f>(Tabela14[[#This Row],[REGIÃO03-3%]]*0.06)+Tabela14[[#This Row],[REGIÃO03-3%]]</f>
        <v>17.675712000000001</v>
      </c>
      <c r="P45" s="52">
        <f>(Tabela14[[#This Row],[PRECO 3%]]*0.06)+Tabela14[[#This Row],[PRECO 3%]]</f>
        <v>16.366400000000002</v>
      </c>
      <c r="Q45" s="34">
        <f>(Tabela14[[#This Row],[REGIÃO04-3%]]*0.06)+Tabela14[[#This Row],[REGIÃO04-3%]]</f>
        <v>17.348384000000003</v>
      </c>
    </row>
    <row r="46" spans="1:17" x14ac:dyDescent="0.25">
      <c r="A46">
        <v>86</v>
      </c>
      <c r="B46" t="s">
        <v>21</v>
      </c>
      <c r="C46" t="s">
        <v>22</v>
      </c>
      <c r="D46" t="s">
        <v>4</v>
      </c>
      <c r="E46" s="1" t="s">
        <v>327</v>
      </c>
      <c r="F46">
        <f>VLOOKUP(Tabela14[[#This Row],[ID_COD]],Tabela2[],6,0)</f>
        <v>30</v>
      </c>
      <c r="G46" t="s">
        <v>194</v>
      </c>
      <c r="H46" s="46">
        <v>16.175238095238093</v>
      </c>
      <c r="I46" s="47">
        <f>Tabela14[[#This Row],[PRECO 3%]]+(Tabela14[[#This Row],[PRECO 3%]]*0.06)</f>
        <v>17.145752380952377</v>
      </c>
      <c r="J46" s="49">
        <f>(Tabela14[[#This Row],[PRECO 3%]]*0.1)+Tabela14[[#This Row],[PRECO 3%]]</f>
        <v>17.792761904761903</v>
      </c>
      <c r="K46" s="49">
        <f>(Tabela14[[#This Row],[REGIÃO01-3%]]*0.06)+Tabela14[[#This Row],[REGIÃO01-3%]]</f>
        <v>18.860327619047617</v>
      </c>
      <c r="L46" s="50">
        <f>(Tabela14[[#This Row],[PRECO 3%]]*0.05)+Tabela14[[#This Row],[PRECO 3%]]</f>
        <v>16.983999999999998</v>
      </c>
      <c r="M46" s="50">
        <f>(Tabela14[[#This Row],[REGIÃO02 - 3%]]*0.06)+Tabela14[[#This Row],[REGIÃO02 - 3%]]</f>
        <v>18.003039999999999</v>
      </c>
      <c r="N46" s="51">
        <f>(Tabela14[[#This Row],[PRECO 3%]]*0.08)+Tabela14[[#This Row],[PRECO 3%]]</f>
        <v>17.469257142857142</v>
      </c>
      <c r="O46" s="51">
        <f>(Tabela14[[#This Row],[REGIÃO03-3%]]*0.06)+Tabela14[[#This Row],[REGIÃO03-3%]]</f>
        <v>18.517412571428572</v>
      </c>
      <c r="P46" s="52">
        <f>(Tabela14[[#This Row],[PRECO 3%]]*0.06)+Tabela14[[#This Row],[PRECO 3%]]</f>
        <v>17.145752380952377</v>
      </c>
      <c r="Q46" s="34">
        <f>(Tabela14[[#This Row],[REGIÃO04-3%]]*0.06)+Tabela14[[#This Row],[REGIÃO04-3%]]</f>
        <v>18.174497523809521</v>
      </c>
    </row>
    <row r="47" spans="1:17" x14ac:dyDescent="0.25">
      <c r="A47">
        <v>87</v>
      </c>
      <c r="B47" t="s">
        <v>21</v>
      </c>
      <c r="C47" t="s">
        <v>22</v>
      </c>
      <c r="D47" t="s">
        <v>4</v>
      </c>
      <c r="E47" s="1" t="s">
        <v>328</v>
      </c>
      <c r="F47">
        <f>VLOOKUP(Tabela14[[#This Row],[ID_COD]],Tabela2[],6,0)</f>
        <v>30</v>
      </c>
      <c r="G47" t="s">
        <v>195</v>
      </c>
      <c r="H47" s="46">
        <v>16.910476190476189</v>
      </c>
      <c r="I47" s="47">
        <f>Tabela14[[#This Row],[PRECO 3%]]+(Tabela14[[#This Row],[PRECO 3%]]*0.06)</f>
        <v>17.925104761904759</v>
      </c>
      <c r="J47" s="49">
        <f>(Tabela14[[#This Row],[PRECO 3%]]*0.1)+Tabela14[[#This Row],[PRECO 3%]]</f>
        <v>18.601523809523808</v>
      </c>
      <c r="K47" s="49">
        <f>(Tabela14[[#This Row],[REGIÃO01-3%]]*0.06)+Tabela14[[#This Row],[REGIÃO01-3%]]</f>
        <v>19.717615238095238</v>
      </c>
      <c r="L47" s="50">
        <f>(Tabela14[[#This Row],[PRECO 3%]]*0.05)+Tabela14[[#This Row],[PRECO 3%]]</f>
        <v>17.755999999999997</v>
      </c>
      <c r="M47" s="50">
        <f>(Tabela14[[#This Row],[REGIÃO02 - 3%]]*0.06)+Tabela14[[#This Row],[REGIÃO02 - 3%]]</f>
        <v>18.821359999999995</v>
      </c>
      <c r="N47" s="51">
        <f>(Tabela14[[#This Row],[PRECO 3%]]*0.08)+Tabela14[[#This Row],[PRECO 3%]]</f>
        <v>18.263314285714284</v>
      </c>
      <c r="O47" s="51">
        <f>(Tabela14[[#This Row],[REGIÃO03-3%]]*0.06)+Tabela14[[#This Row],[REGIÃO03-3%]]</f>
        <v>19.35911314285714</v>
      </c>
      <c r="P47" s="52">
        <f>(Tabela14[[#This Row],[PRECO 3%]]*0.06)+Tabela14[[#This Row],[PRECO 3%]]</f>
        <v>17.925104761904759</v>
      </c>
      <c r="Q47" s="34">
        <f>(Tabela14[[#This Row],[REGIÃO04-3%]]*0.06)+Tabela14[[#This Row],[REGIÃO04-3%]]</f>
        <v>19.000611047619046</v>
      </c>
    </row>
    <row r="48" spans="1:17" x14ac:dyDescent="0.25">
      <c r="A48">
        <v>88</v>
      </c>
      <c r="B48" t="s">
        <v>21</v>
      </c>
      <c r="C48" t="s">
        <v>22</v>
      </c>
      <c r="D48" t="s">
        <v>4</v>
      </c>
      <c r="E48" s="1" t="s">
        <v>329</v>
      </c>
      <c r="F48">
        <f>VLOOKUP(Tabela14[[#This Row],[ID_COD]],Tabela2[],6,0)</f>
        <v>30</v>
      </c>
      <c r="G48" t="s">
        <v>196</v>
      </c>
      <c r="H48" s="46">
        <v>17.645714285714284</v>
      </c>
      <c r="I48" s="47">
        <f>Tabela14[[#This Row],[PRECO 3%]]+(Tabela14[[#This Row],[PRECO 3%]]*0.06)</f>
        <v>18.704457142857141</v>
      </c>
      <c r="J48" s="49">
        <f>(Tabela14[[#This Row],[PRECO 3%]]*0.1)+Tabela14[[#This Row],[PRECO 3%]]</f>
        <v>19.410285714285713</v>
      </c>
      <c r="K48" s="49">
        <f>(Tabela14[[#This Row],[REGIÃO01-3%]]*0.06)+Tabela14[[#This Row],[REGIÃO01-3%]]</f>
        <v>20.574902857142856</v>
      </c>
      <c r="L48" s="50">
        <f>(Tabela14[[#This Row],[PRECO 3%]]*0.05)+Tabela14[[#This Row],[PRECO 3%]]</f>
        <v>18.527999999999999</v>
      </c>
      <c r="M48" s="50">
        <f>(Tabela14[[#This Row],[REGIÃO02 - 3%]]*0.06)+Tabela14[[#This Row],[REGIÃO02 - 3%]]</f>
        <v>19.639679999999998</v>
      </c>
      <c r="N48" s="51">
        <f>(Tabela14[[#This Row],[PRECO 3%]]*0.08)+Tabela14[[#This Row],[PRECO 3%]]</f>
        <v>19.057371428571425</v>
      </c>
      <c r="O48" s="51">
        <f>(Tabela14[[#This Row],[REGIÃO03-3%]]*0.06)+Tabela14[[#This Row],[REGIÃO03-3%]]</f>
        <v>20.200813714285712</v>
      </c>
      <c r="P48" s="52">
        <f>(Tabela14[[#This Row],[PRECO 3%]]*0.06)+Tabela14[[#This Row],[PRECO 3%]]</f>
        <v>18.704457142857141</v>
      </c>
      <c r="Q48" s="34">
        <f>(Tabela14[[#This Row],[REGIÃO04-3%]]*0.06)+Tabela14[[#This Row],[REGIÃO04-3%]]</f>
        <v>19.826724571428571</v>
      </c>
    </row>
    <row r="49" spans="1:17" x14ac:dyDescent="0.25">
      <c r="A49">
        <v>89</v>
      </c>
      <c r="B49" t="s">
        <v>21</v>
      </c>
      <c r="C49" t="s">
        <v>22</v>
      </c>
      <c r="D49" t="s">
        <v>4</v>
      </c>
      <c r="E49" s="1" t="s">
        <v>330</v>
      </c>
      <c r="F49">
        <f>VLOOKUP(Tabela14[[#This Row],[ID_COD]],Tabela2[],6,0)</f>
        <v>30</v>
      </c>
      <c r="G49" t="s">
        <v>197</v>
      </c>
      <c r="H49" s="46">
        <v>18.38095238095238</v>
      </c>
      <c r="I49" s="47">
        <f>Tabela14[[#This Row],[PRECO 3%]]+(Tabela14[[#This Row],[PRECO 3%]]*0.06)</f>
        <v>19.483809523809523</v>
      </c>
      <c r="J49" s="49">
        <f>(Tabela14[[#This Row],[PRECO 3%]]*0.1)+Tabela14[[#This Row],[PRECO 3%]]</f>
        <v>20.219047619047618</v>
      </c>
      <c r="K49" s="49">
        <f>(Tabela14[[#This Row],[REGIÃO01-3%]]*0.06)+Tabela14[[#This Row],[REGIÃO01-3%]]</f>
        <v>21.432190476190474</v>
      </c>
      <c r="L49" s="50">
        <f>(Tabela14[[#This Row],[PRECO 3%]]*0.05)+Tabela14[[#This Row],[PRECO 3%]]</f>
        <v>19.299999999999997</v>
      </c>
      <c r="M49" s="50">
        <f>(Tabela14[[#This Row],[REGIÃO02 - 3%]]*0.06)+Tabela14[[#This Row],[REGIÃO02 - 3%]]</f>
        <v>20.457999999999998</v>
      </c>
      <c r="N49" s="51">
        <f>(Tabela14[[#This Row],[PRECO 3%]]*0.08)+Tabela14[[#This Row],[PRECO 3%]]</f>
        <v>19.851428571428571</v>
      </c>
      <c r="O49" s="51">
        <f>(Tabela14[[#This Row],[REGIÃO03-3%]]*0.06)+Tabela14[[#This Row],[REGIÃO03-3%]]</f>
        <v>21.042514285714283</v>
      </c>
      <c r="P49" s="52">
        <f>(Tabela14[[#This Row],[PRECO 3%]]*0.06)+Tabela14[[#This Row],[PRECO 3%]]</f>
        <v>19.483809523809523</v>
      </c>
      <c r="Q49" s="34">
        <f>(Tabela14[[#This Row],[REGIÃO04-3%]]*0.06)+Tabela14[[#This Row],[REGIÃO04-3%]]</f>
        <v>20.652838095238096</v>
      </c>
    </row>
    <row r="50" spans="1:17" x14ac:dyDescent="0.25">
      <c r="A50">
        <v>90</v>
      </c>
      <c r="B50" t="s">
        <v>21</v>
      </c>
      <c r="C50" t="s">
        <v>22</v>
      </c>
      <c r="D50" t="s">
        <v>4</v>
      </c>
      <c r="E50" s="1" t="s">
        <v>262</v>
      </c>
      <c r="F50">
        <f>VLOOKUP(Tabela14[[#This Row],[ID_COD]],Tabela2[],6,0)</f>
        <v>30</v>
      </c>
      <c r="G50" t="s">
        <v>199</v>
      </c>
      <c r="H50" s="46">
        <v>19.116190476190475</v>
      </c>
      <c r="I50" s="47">
        <f>Tabela14[[#This Row],[PRECO 3%]]+(Tabela14[[#This Row],[PRECO 3%]]*0.06)</f>
        <v>20.263161904761905</v>
      </c>
      <c r="J50" s="49">
        <f>(Tabela14[[#This Row],[PRECO 3%]]*0.1)+Tabela14[[#This Row],[PRECO 3%]]</f>
        <v>21.027809523809523</v>
      </c>
      <c r="K50" s="49">
        <f>(Tabela14[[#This Row],[REGIÃO01-3%]]*0.06)+Tabela14[[#This Row],[REGIÃO01-3%]]</f>
        <v>22.289478095238096</v>
      </c>
      <c r="L50" s="50">
        <f>(Tabela14[[#This Row],[PRECO 3%]]*0.05)+Tabela14[[#This Row],[PRECO 3%]]</f>
        <v>20.071999999999999</v>
      </c>
      <c r="M50" s="50">
        <f>(Tabela14[[#This Row],[REGIÃO02 - 3%]]*0.06)+Tabela14[[#This Row],[REGIÃO02 - 3%]]</f>
        <v>21.276319999999998</v>
      </c>
      <c r="N50" s="51">
        <f>(Tabela14[[#This Row],[PRECO 3%]]*0.08)+Tabela14[[#This Row],[PRECO 3%]]</f>
        <v>20.645485714285712</v>
      </c>
      <c r="O50" s="51">
        <f>(Tabela14[[#This Row],[REGIÃO03-3%]]*0.06)+Tabela14[[#This Row],[REGIÃO03-3%]]</f>
        <v>21.884214857142855</v>
      </c>
      <c r="P50" s="52">
        <f>(Tabela14[[#This Row],[PRECO 3%]]*0.06)+Tabela14[[#This Row],[PRECO 3%]]</f>
        <v>20.263161904761905</v>
      </c>
      <c r="Q50" s="34">
        <f>(Tabela14[[#This Row],[REGIÃO04-3%]]*0.06)+Tabela14[[#This Row],[REGIÃO04-3%]]</f>
        <v>21.478951619047621</v>
      </c>
    </row>
    <row r="51" spans="1:17" x14ac:dyDescent="0.25">
      <c r="A51">
        <v>91</v>
      </c>
      <c r="B51" t="s">
        <v>21</v>
      </c>
      <c r="C51" t="s">
        <v>22</v>
      </c>
      <c r="D51" t="s">
        <v>4</v>
      </c>
      <c r="E51" s="1" t="s">
        <v>222</v>
      </c>
      <c r="F51">
        <f>VLOOKUP(Tabela14[[#This Row],[ID_COD]],Tabela2[],6,0)</f>
        <v>30</v>
      </c>
      <c r="G51" t="s">
        <v>200</v>
      </c>
      <c r="H51" s="46">
        <v>19.851428571428571</v>
      </c>
      <c r="I51" s="47">
        <f>Tabela14[[#This Row],[PRECO 3%]]+(Tabela14[[#This Row],[PRECO 3%]]*0.06)</f>
        <v>21.042514285714283</v>
      </c>
      <c r="J51" s="49">
        <f>(Tabela14[[#This Row],[PRECO 3%]]*0.1)+Tabela14[[#This Row],[PRECO 3%]]</f>
        <v>21.836571428571428</v>
      </c>
      <c r="K51" s="49">
        <f>(Tabela14[[#This Row],[REGIÃO01-3%]]*0.06)+Tabela14[[#This Row],[REGIÃO01-3%]]</f>
        <v>23.146765714285713</v>
      </c>
      <c r="L51" s="50">
        <f>(Tabela14[[#This Row],[PRECO 3%]]*0.05)+Tabela14[[#This Row],[PRECO 3%]]</f>
        <v>20.843999999999998</v>
      </c>
      <c r="M51" s="50">
        <f>(Tabela14[[#This Row],[REGIÃO02 - 3%]]*0.06)+Tabela14[[#This Row],[REGIÃO02 - 3%]]</f>
        <v>22.094639999999998</v>
      </c>
      <c r="N51" s="51">
        <f>(Tabela14[[#This Row],[PRECO 3%]]*0.08)+Tabela14[[#This Row],[PRECO 3%]]</f>
        <v>21.439542857142857</v>
      </c>
      <c r="O51" s="51">
        <f>(Tabela14[[#This Row],[REGIÃO03-3%]]*0.06)+Tabela14[[#This Row],[REGIÃO03-3%]]</f>
        <v>22.72591542857143</v>
      </c>
      <c r="P51" s="52">
        <f>(Tabela14[[#This Row],[PRECO 3%]]*0.06)+Tabela14[[#This Row],[PRECO 3%]]</f>
        <v>21.042514285714283</v>
      </c>
      <c r="Q51" s="34">
        <f>(Tabela14[[#This Row],[REGIÃO04-3%]]*0.06)+Tabela14[[#This Row],[REGIÃO04-3%]]</f>
        <v>22.305065142857138</v>
      </c>
    </row>
    <row r="52" spans="1:17" x14ac:dyDescent="0.25">
      <c r="A52">
        <v>92</v>
      </c>
      <c r="B52" t="s">
        <v>21</v>
      </c>
      <c r="C52" t="s">
        <v>22</v>
      </c>
      <c r="D52" t="s">
        <v>4</v>
      </c>
      <c r="E52" s="1" t="s">
        <v>243</v>
      </c>
      <c r="F52">
        <f>VLOOKUP(Tabela14[[#This Row],[ID_COD]],Tabela2[],6,0)</f>
        <v>30</v>
      </c>
      <c r="G52" t="s">
        <v>201</v>
      </c>
      <c r="H52" s="46">
        <v>20.586666666666666</v>
      </c>
      <c r="I52" s="47">
        <f>Tabela14[[#This Row],[PRECO 3%]]+(Tabela14[[#This Row],[PRECO 3%]]*0.06)</f>
        <v>21.821866666666665</v>
      </c>
      <c r="J52" s="49">
        <f>(Tabela14[[#This Row],[PRECO 3%]]*0.1)+Tabela14[[#This Row],[PRECO 3%]]</f>
        <v>22.645333333333333</v>
      </c>
      <c r="K52" s="49">
        <f>(Tabela14[[#This Row],[REGIÃO01-3%]]*0.06)+Tabela14[[#This Row],[REGIÃO01-3%]]</f>
        <v>24.004053333333331</v>
      </c>
      <c r="L52" s="50">
        <f>(Tabela14[[#This Row],[PRECO 3%]]*0.05)+Tabela14[[#This Row],[PRECO 3%]]</f>
        <v>21.616</v>
      </c>
      <c r="M52" s="50">
        <f>(Tabela14[[#This Row],[REGIÃO02 - 3%]]*0.06)+Tabela14[[#This Row],[REGIÃO02 - 3%]]</f>
        <v>22.912959999999998</v>
      </c>
      <c r="N52" s="51">
        <f>(Tabela14[[#This Row],[PRECO 3%]]*0.08)+Tabela14[[#This Row],[PRECO 3%]]</f>
        <v>22.233599999999999</v>
      </c>
      <c r="O52" s="51">
        <f>(Tabela14[[#This Row],[REGIÃO03-3%]]*0.06)+Tabela14[[#This Row],[REGIÃO03-3%]]</f>
        <v>23.567615999999997</v>
      </c>
      <c r="P52" s="52">
        <f>(Tabela14[[#This Row],[PRECO 3%]]*0.06)+Tabela14[[#This Row],[PRECO 3%]]</f>
        <v>21.821866666666665</v>
      </c>
      <c r="Q52" s="34">
        <f>(Tabela14[[#This Row],[REGIÃO04-3%]]*0.06)+Tabela14[[#This Row],[REGIÃO04-3%]]</f>
        <v>23.131178666666663</v>
      </c>
    </row>
    <row r="53" spans="1:17" x14ac:dyDescent="0.25">
      <c r="A53">
        <v>93</v>
      </c>
      <c r="B53" t="s">
        <v>21</v>
      </c>
      <c r="C53" t="s">
        <v>22</v>
      </c>
      <c r="D53" t="s">
        <v>4</v>
      </c>
      <c r="E53" s="1" t="s">
        <v>180</v>
      </c>
      <c r="F53">
        <f>VLOOKUP(Tabela14[[#This Row],[ID_COD]],Tabela2[],6,0)</f>
        <v>25</v>
      </c>
      <c r="G53" t="s">
        <v>202</v>
      </c>
      <c r="H53" s="46">
        <v>21.321904761904758</v>
      </c>
      <c r="I53" s="47">
        <f>Tabela14[[#This Row],[PRECO 3%]]+(Tabela14[[#This Row],[PRECO 3%]]*0.06)</f>
        <v>22.601219047619043</v>
      </c>
      <c r="J53" s="49">
        <f>(Tabela14[[#This Row],[PRECO 3%]]*0.1)+Tabela14[[#This Row],[PRECO 3%]]</f>
        <v>23.454095238095235</v>
      </c>
      <c r="K53" s="49">
        <f>(Tabela14[[#This Row],[REGIÃO01-3%]]*0.06)+Tabela14[[#This Row],[REGIÃO01-3%]]</f>
        <v>24.861340952380949</v>
      </c>
      <c r="L53" s="50">
        <f>(Tabela14[[#This Row],[PRECO 3%]]*0.05)+Tabela14[[#This Row],[PRECO 3%]]</f>
        <v>22.387999999999995</v>
      </c>
      <c r="M53" s="50">
        <f>(Tabela14[[#This Row],[REGIÃO02 - 3%]]*0.06)+Tabela14[[#This Row],[REGIÃO02 - 3%]]</f>
        <v>23.731279999999995</v>
      </c>
      <c r="N53" s="51">
        <f>(Tabela14[[#This Row],[PRECO 3%]]*0.08)+Tabela14[[#This Row],[PRECO 3%]]</f>
        <v>23.027657142857137</v>
      </c>
      <c r="O53" s="51">
        <f>(Tabela14[[#This Row],[REGIÃO03-3%]]*0.06)+Tabela14[[#This Row],[REGIÃO03-3%]]</f>
        <v>24.409316571428565</v>
      </c>
      <c r="P53" s="52">
        <f>(Tabela14[[#This Row],[PRECO 3%]]*0.06)+Tabela14[[#This Row],[PRECO 3%]]</f>
        <v>22.601219047619043</v>
      </c>
      <c r="Q53" s="34">
        <f>(Tabela14[[#This Row],[REGIÃO04-3%]]*0.06)+Tabela14[[#This Row],[REGIÃO04-3%]]</f>
        <v>23.957292190476185</v>
      </c>
    </row>
    <row r="54" spans="1:17" x14ac:dyDescent="0.25">
      <c r="A54">
        <v>94</v>
      </c>
      <c r="B54" t="s">
        <v>21</v>
      </c>
      <c r="C54" t="s">
        <v>22</v>
      </c>
      <c r="D54" t="s">
        <v>4</v>
      </c>
      <c r="E54" s="1" t="s">
        <v>233</v>
      </c>
      <c r="F54">
        <f>VLOOKUP(Tabela14[[#This Row],[ID_COD]],Tabela2[],6,0)</f>
        <v>25</v>
      </c>
      <c r="G54" t="s">
        <v>203</v>
      </c>
      <c r="H54" s="46">
        <v>22.057142857142857</v>
      </c>
      <c r="I54" s="47">
        <f>Tabela14[[#This Row],[PRECO 3%]]+(Tabela14[[#This Row],[PRECO 3%]]*0.06)</f>
        <v>23.380571428571429</v>
      </c>
      <c r="J54" s="49">
        <f>(Tabela14[[#This Row],[PRECO 3%]]*0.1)+Tabela14[[#This Row],[PRECO 3%]]</f>
        <v>24.262857142857143</v>
      </c>
      <c r="K54" s="49">
        <f>(Tabela14[[#This Row],[REGIÃO01-3%]]*0.06)+Tabela14[[#This Row],[REGIÃO01-3%]]</f>
        <v>25.718628571428571</v>
      </c>
      <c r="L54" s="50">
        <f>(Tabela14[[#This Row],[PRECO 3%]]*0.05)+Tabela14[[#This Row],[PRECO 3%]]</f>
        <v>23.16</v>
      </c>
      <c r="M54" s="50">
        <f>(Tabela14[[#This Row],[REGIÃO02 - 3%]]*0.06)+Tabela14[[#This Row],[REGIÃO02 - 3%]]</f>
        <v>24.549600000000002</v>
      </c>
      <c r="N54" s="51">
        <f>(Tabela14[[#This Row],[PRECO 3%]]*0.08)+Tabela14[[#This Row],[PRECO 3%]]</f>
        <v>23.821714285714286</v>
      </c>
      <c r="O54" s="51">
        <f>(Tabela14[[#This Row],[REGIÃO03-3%]]*0.06)+Tabela14[[#This Row],[REGIÃO03-3%]]</f>
        <v>25.251017142857144</v>
      </c>
      <c r="P54" s="52">
        <f>(Tabela14[[#This Row],[PRECO 3%]]*0.06)+Tabela14[[#This Row],[PRECO 3%]]</f>
        <v>23.380571428571429</v>
      </c>
      <c r="Q54" s="34">
        <f>(Tabela14[[#This Row],[REGIÃO04-3%]]*0.06)+Tabela14[[#This Row],[REGIÃO04-3%]]</f>
        <v>24.783405714285713</v>
      </c>
    </row>
    <row r="55" spans="1:17" x14ac:dyDescent="0.25">
      <c r="A55">
        <v>95</v>
      </c>
      <c r="B55" t="s">
        <v>21</v>
      </c>
      <c r="C55" t="s">
        <v>22</v>
      </c>
      <c r="D55" t="s">
        <v>4</v>
      </c>
      <c r="E55" s="1" t="s">
        <v>281</v>
      </c>
      <c r="F55">
        <f>VLOOKUP(Tabela14[[#This Row],[ID_COD]],Tabela2[],6,0)</f>
        <v>25</v>
      </c>
      <c r="G55" t="s">
        <v>204</v>
      </c>
      <c r="H55" s="46">
        <v>22.792380952380952</v>
      </c>
      <c r="I55" s="47">
        <f>Tabela14[[#This Row],[PRECO 3%]]+(Tabela14[[#This Row],[PRECO 3%]]*0.06)</f>
        <v>24.159923809523811</v>
      </c>
      <c r="J55" s="49">
        <f>(Tabela14[[#This Row],[PRECO 3%]]*0.1)+Tabela14[[#This Row],[PRECO 3%]]</f>
        <v>25.071619047619048</v>
      </c>
      <c r="K55" s="49">
        <f>(Tabela14[[#This Row],[REGIÃO01-3%]]*0.06)+Tabela14[[#This Row],[REGIÃO01-3%]]</f>
        <v>26.575916190476192</v>
      </c>
      <c r="L55" s="50">
        <f>(Tabela14[[#This Row],[PRECO 3%]]*0.05)+Tabela14[[#This Row],[PRECO 3%]]</f>
        <v>23.931999999999999</v>
      </c>
      <c r="M55" s="50">
        <f>(Tabela14[[#This Row],[REGIÃO02 - 3%]]*0.06)+Tabela14[[#This Row],[REGIÃO02 - 3%]]</f>
        <v>25.367919999999998</v>
      </c>
      <c r="N55" s="51">
        <f>(Tabela14[[#This Row],[PRECO 3%]]*0.08)+Tabela14[[#This Row],[PRECO 3%]]</f>
        <v>24.615771428571428</v>
      </c>
      <c r="O55" s="51">
        <f>(Tabela14[[#This Row],[REGIÃO03-3%]]*0.06)+Tabela14[[#This Row],[REGIÃO03-3%]]</f>
        <v>26.092717714285712</v>
      </c>
      <c r="P55" s="52">
        <f>(Tabela14[[#This Row],[PRECO 3%]]*0.06)+Tabela14[[#This Row],[PRECO 3%]]</f>
        <v>24.159923809523811</v>
      </c>
      <c r="Q55" s="34">
        <f>(Tabela14[[#This Row],[REGIÃO04-3%]]*0.06)+Tabela14[[#This Row],[REGIÃO04-3%]]</f>
        <v>25.609519238095238</v>
      </c>
    </row>
    <row r="56" spans="1:17" x14ac:dyDescent="0.25">
      <c r="A56">
        <v>96</v>
      </c>
      <c r="B56" t="s">
        <v>21</v>
      </c>
      <c r="C56" t="s">
        <v>22</v>
      </c>
      <c r="D56" t="s">
        <v>4</v>
      </c>
      <c r="E56" s="1" t="s">
        <v>299</v>
      </c>
      <c r="F56">
        <f>VLOOKUP(Tabela14[[#This Row],[ID_COD]],Tabela2[],6,0)</f>
        <v>20</v>
      </c>
      <c r="G56" t="s">
        <v>205</v>
      </c>
      <c r="H56" s="46">
        <v>23.527619047619048</v>
      </c>
      <c r="I56" s="47">
        <f>Tabela14[[#This Row],[PRECO 3%]]+(Tabela14[[#This Row],[PRECO 3%]]*0.06)</f>
        <v>24.939276190476189</v>
      </c>
      <c r="J56" s="49">
        <f>(Tabela14[[#This Row],[PRECO 3%]]*0.1)+Tabela14[[#This Row],[PRECO 3%]]</f>
        <v>25.880380952380953</v>
      </c>
      <c r="K56" s="49">
        <f>(Tabela14[[#This Row],[REGIÃO01-3%]]*0.06)+Tabela14[[#This Row],[REGIÃO01-3%]]</f>
        <v>27.43320380952381</v>
      </c>
      <c r="L56" s="50">
        <f>(Tabela14[[#This Row],[PRECO 3%]]*0.05)+Tabela14[[#This Row],[PRECO 3%]]</f>
        <v>24.704000000000001</v>
      </c>
      <c r="M56" s="50">
        <f>(Tabela14[[#This Row],[REGIÃO02 - 3%]]*0.06)+Tabela14[[#This Row],[REGIÃO02 - 3%]]</f>
        <v>26.186240000000002</v>
      </c>
      <c r="N56" s="51">
        <f>(Tabela14[[#This Row],[PRECO 3%]]*0.08)+Tabela14[[#This Row],[PRECO 3%]]</f>
        <v>25.409828571428573</v>
      </c>
      <c r="O56" s="51">
        <f>(Tabela14[[#This Row],[REGIÃO03-3%]]*0.06)+Tabela14[[#This Row],[REGIÃO03-3%]]</f>
        <v>26.934418285714287</v>
      </c>
      <c r="P56" s="52">
        <f>(Tabela14[[#This Row],[PRECO 3%]]*0.06)+Tabela14[[#This Row],[PRECO 3%]]</f>
        <v>24.939276190476189</v>
      </c>
      <c r="Q56" s="34">
        <f>(Tabela14[[#This Row],[REGIÃO04-3%]]*0.06)+Tabela14[[#This Row],[REGIÃO04-3%]]</f>
        <v>26.43563276190476</v>
      </c>
    </row>
    <row r="57" spans="1:17" x14ac:dyDescent="0.25">
      <c r="A57">
        <v>97</v>
      </c>
      <c r="B57" t="s">
        <v>21</v>
      </c>
      <c r="C57" t="s">
        <v>22</v>
      </c>
      <c r="D57" t="s">
        <v>4</v>
      </c>
      <c r="E57" s="1" t="s">
        <v>316</v>
      </c>
      <c r="F57">
        <f>VLOOKUP(Tabela14[[#This Row],[ID_COD]],Tabela2[],6,0)</f>
        <v>30</v>
      </c>
      <c r="G57" t="s">
        <v>206</v>
      </c>
      <c r="H57" s="46">
        <v>24.262857142857143</v>
      </c>
      <c r="I57" s="47">
        <f>Tabela14[[#This Row],[PRECO 3%]]+(Tabela14[[#This Row],[PRECO 3%]]*0.06)</f>
        <v>25.718628571428571</v>
      </c>
      <c r="J57" s="49">
        <f>(Tabela14[[#This Row],[PRECO 3%]]*0.1)+Tabela14[[#This Row],[PRECO 3%]]</f>
        <v>26.689142857142858</v>
      </c>
      <c r="K57" s="49">
        <f>(Tabela14[[#This Row],[REGIÃO01-3%]]*0.06)+Tabela14[[#This Row],[REGIÃO01-3%]]</f>
        <v>28.290491428571428</v>
      </c>
      <c r="L57" s="50">
        <f>(Tabela14[[#This Row],[PRECO 3%]]*0.05)+Tabela14[[#This Row],[PRECO 3%]]</f>
        <v>25.475999999999999</v>
      </c>
      <c r="M57" s="50">
        <f>(Tabela14[[#This Row],[REGIÃO02 - 3%]]*0.06)+Tabela14[[#This Row],[REGIÃO02 - 3%]]</f>
        <v>27.004559999999998</v>
      </c>
      <c r="N57" s="51">
        <f>(Tabela14[[#This Row],[PRECO 3%]]*0.08)+Tabela14[[#This Row],[PRECO 3%]]</f>
        <v>26.203885714285715</v>
      </c>
      <c r="O57" s="51">
        <f>(Tabela14[[#This Row],[REGIÃO03-3%]]*0.06)+Tabela14[[#This Row],[REGIÃO03-3%]]</f>
        <v>27.776118857142858</v>
      </c>
      <c r="P57" s="52">
        <f>(Tabela14[[#This Row],[PRECO 3%]]*0.06)+Tabela14[[#This Row],[PRECO 3%]]</f>
        <v>25.718628571428571</v>
      </c>
      <c r="Q57" s="34">
        <f>(Tabela14[[#This Row],[REGIÃO04-3%]]*0.06)+Tabela14[[#This Row],[REGIÃO04-3%]]</f>
        <v>27.261746285714285</v>
      </c>
    </row>
    <row r="58" spans="1:17" x14ac:dyDescent="0.25">
      <c r="A58">
        <v>129</v>
      </c>
      <c r="B58" t="s">
        <v>21</v>
      </c>
      <c r="C58" t="s">
        <v>22</v>
      </c>
      <c r="D58" t="s">
        <v>8</v>
      </c>
      <c r="E58" s="1" t="s">
        <v>285</v>
      </c>
      <c r="F58">
        <f>VLOOKUP(Tabela14[[#This Row],[ID_COD]],Tabela2[],6,0)</f>
        <v>20</v>
      </c>
      <c r="G58" t="s">
        <v>189</v>
      </c>
      <c r="H58" s="46">
        <v>27.264324324324328</v>
      </c>
      <c r="I58" s="47">
        <f>Tabela14[[#This Row],[PRECO 3%]]+(Tabela14[[#This Row],[PRECO 3%]]*0.06)</f>
        <v>28.900183783783788</v>
      </c>
      <c r="J58" s="49">
        <f>(Tabela14[[#This Row],[PRECO 3%]]*0.1)+Tabela14[[#This Row],[PRECO 3%]]</f>
        <v>29.99075675675676</v>
      </c>
      <c r="K58" s="49">
        <f>(Tabela14[[#This Row],[REGIÃO01-3%]]*0.06)+Tabela14[[#This Row],[REGIÃO01-3%]]</f>
        <v>31.790202162162164</v>
      </c>
      <c r="L58" s="50">
        <f>(Tabela14[[#This Row],[PRECO 3%]]*0.05)+Tabela14[[#This Row],[PRECO 3%]]</f>
        <v>28.627540540540544</v>
      </c>
      <c r="M58" s="50">
        <f>(Tabela14[[#This Row],[REGIÃO02 - 3%]]*0.06)+Tabela14[[#This Row],[REGIÃO02 - 3%]]</f>
        <v>30.345192972972978</v>
      </c>
      <c r="N58" s="51">
        <f>(Tabela14[[#This Row],[PRECO 3%]]*0.08)+Tabela14[[#This Row],[PRECO 3%]]</f>
        <v>29.445470270270274</v>
      </c>
      <c r="O58" s="51">
        <f>(Tabela14[[#This Row],[REGIÃO03-3%]]*0.06)+Tabela14[[#This Row],[REGIÃO03-3%]]</f>
        <v>31.212198486486489</v>
      </c>
      <c r="P58" s="52">
        <f>(Tabela14[[#This Row],[PRECO 3%]]*0.06)+Tabela14[[#This Row],[PRECO 3%]]</f>
        <v>28.900183783783788</v>
      </c>
      <c r="Q58" s="34">
        <f>(Tabela14[[#This Row],[REGIÃO04-3%]]*0.06)+Tabela14[[#This Row],[REGIÃO04-3%]]</f>
        <v>30.634194810810815</v>
      </c>
    </row>
    <row r="59" spans="1:17" x14ac:dyDescent="0.25">
      <c r="A59">
        <v>130</v>
      </c>
      <c r="B59" t="s">
        <v>21</v>
      </c>
      <c r="C59" t="s">
        <v>22</v>
      </c>
      <c r="D59" t="s">
        <v>8</v>
      </c>
      <c r="E59" s="1" t="s">
        <v>302</v>
      </c>
      <c r="F59">
        <f>VLOOKUP(Tabela14[[#This Row],[ID_COD]],Tabela2[],6,0)</f>
        <v>0</v>
      </c>
      <c r="G59" t="s">
        <v>191</v>
      </c>
      <c r="H59" s="46">
        <v>28.066216216216215</v>
      </c>
      <c r="I59" s="47">
        <f>Tabela14[[#This Row],[PRECO 3%]]+(Tabela14[[#This Row],[PRECO 3%]]*0.06)</f>
        <v>29.750189189189189</v>
      </c>
      <c r="J59" s="49">
        <f>(Tabela14[[#This Row],[PRECO 3%]]*0.1)+Tabela14[[#This Row],[PRECO 3%]]</f>
        <v>30.872837837837835</v>
      </c>
      <c r="K59" s="49">
        <f>(Tabela14[[#This Row],[REGIÃO01-3%]]*0.06)+Tabela14[[#This Row],[REGIÃO01-3%]]</f>
        <v>32.725208108108106</v>
      </c>
      <c r="L59" s="50">
        <f>(Tabela14[[#This Row],[PRECO 3%]]*0.05)+Tabela14[[#This Row],[PRECO 3%]]</f>
        <v>29.469527027027027</v>
      </c>
      <c r="M59" s="50">
        <f>(Tabela14[[#This Row],[REGIÃO02 - 3%]]*0.06)+Tabela14[[#This Row],[REGIÃO02 - 3%]]</f>
        <v>31.237698648648649</v>
      </c>
      <c r="N59" s="51">
        <f>(Tabela14[[#This Row],[PRECO 3%]]*0.08)+Tabela14[[#This Row],[PRECO 3%]]</f>
        <v>30.311513513513514</v>
      </c>
      <c r="O59" s="51">
        <f>(Tabela14[[#This Row],[REGIÃO03-3%]]*0.06)+Tabela14[[#This Row],[REGIÃO03-3%]]</f>
        <v>32.130204324324325</v>
      </c>
      <c r="P59" s="52">
        <f>(Tabela14[[#This Row],[PRECO 3%]]*0.06)+Tabela14[[#This Row],[PRECO 3%]]</f>
        <v>29.750189189189189</v>
      </c>
      <c r="Q59" s="34">
        <f>(Tabela14[[#This Row],[REGIÃO04-3%]]*0.06)+Tabela14[[#This Row],[REGIÃO04-3%]]</f>
        <v>31.53520054054054</v>
      </c>
    </row>
    <row r="60" spans="1:17" x14ac:dyDescent="0.25">
      <c r="A60">
        <v>131</v>
      </c>
      <c r="B60" t="s">
        <v>21</v>
      </c>
      <c r="C60" t="s">
        <v>22</v>
      </c>
      <c r="D60" t="s">
        <v>8</v>
      </c>
      <c r="E60" s="1" t="s">
        <v>331</v>
      </c>
      <c r="F60">
        <f>VLOOKUP(Tabela14[[#This Row],[ID_COD]],Tabela2[],6,0)</f>
        <v>0</v>
      </c>
      <c r="G60" t="s">
        <v>192</v>
      </c>
      <c r="H60" s="46">
        <v>28.86810810810811</v>
      </c>
      <c r="I60" s="47">
        <f>Tabela14[[#This Row],[PRECO 3%]]+(Tabela14[[#This Row],[PRECO 3%]]*0.06)</f>
        <v>30.600194594594598</v>
      </c>
      <c r="J60" s="49">
        <f>(Tabela14[[#This Row],[PRECO 3%]]*0.1)+Tabela14[[#This Row],[PRECO 3%]]</f>
        <v>31.754918918918921</v>
      </c>
      <c r="K60" s="49">
        <f>(Tabela14[[#This Row],[REGIÃO01-3%]]*0.06)+Tabela14[[#This Row],[REGIÃO01-3%]]</f>
        <v>33.660214054054059</v>
      </c>
      <c r="L60" s="50">
        <f>(Tabela14[[#This Row],[PRECO 3%]]*0.05)+Tabela14[[#This Row],[PRECO 3%]]</f>
        <v>30.311513513513518</v>
      </c>
      <c r="M60" s="50">
        <f>(Tabela14[[#This Row],[REGIÃO02 - 3%]]*0.06)+Tabela14[[#This Row],[REGIÃO02 - 3%]]</f>
        <v>32.130204324324332</v>
      </c>
      <c r="N60" s="51">
        <f>(Tabela14[[#This Row],[PRECO 3%]]*0.08)+Tabela14[[#This Row],[PRECO 3%]]</f>
        <v>31.177556756756758</v>
      </c>
      <c r="O60" s="51">
        <f>(Tabela14[[#This Row],[REGIÃO03-3%]]*0.06)+Tabela14[[#This Row],[REGIÃO03-3%]]</f>
        <v>33.048210162162164</v>
      </c>
      <c r="P60" s="52">
        <f>(Tabela14[[#This Row],[PRECO 3%]]*0.06)+Tabela14[[#This Row],[PRECO 3%]]</f>
        <v>30.600194594594598</v>
      </c>
      <c r="Q60" s="34">
        <f>(Tabela14[[#This Row],[REGIÃO04-3%]]*0.06)+Tabela14[[#This Row],[REGIÃO04-3%]]</f>
        <v>32.436206270270276</v>
      </c>
    </row>
    <row r="61" spans="1:17" x14ac:dyDescent="0.25">
      <c r="A61">
        <v>132</v>
      </c>
      <c r="B61" t="s">
        <v>21</v>
      </c>
      <c r="C61" t="s">
        <v>22</v>
      </c>
      <c r="D61" t="s">
        <v>8</v>
      </c>
      <c r="E61" s="1" t="s">
        <v>332</v>
      </c>
      <c r="F61">
        <f>VLOOKUP(Tabela14[[#This Row],[ID_COD]],Tabela2[],6,0)</f>
        <v>20</v>
      </c>
      <c r="G61" t="s">
        <v>187</v>
      </c>
      <c r="H61" s="46">
        <v>29.670000000000005</v>
      </c>
      <c r="I61" s="47">
        <f>Tabela14[[#This Row],[PRECO 3%]]+(Tabela14[[#This Row],[PRECO 3%]]*0.06)</f>
        <v>31.450200000000006</v>
      </c>
      <c r="J61" s="49">
        <f>(Tabela14[[#This Row],[PRECO 3%]]*0.1)+Tabela14[[#This Row],[PRECO 3%]]</f>
        <v>32.637000000000008</v>
      </c>
      <c r="K61" s="49">
        <f>(Tabela14[[#This Row],[REGIÃO01-3%]]*0.06)+Tabela14[[#This Row],[REGIÃO01-3%]]</f>
        <v>34.595220000000005</v>
      </c>
      <c r="L61" s="50">
        <f>(Tabela14[[#This Row],[PRECO 3%]]*0.05)+Tabela14[[#This Row],[PRECO 3%]]</f>
        <v>31.153500000000005</v>
      </c>
      <c r="M61" s="50">
        <f>(Tabela14[[#This Row],[REGIÃO02 - 3%]]*0.06)+Tabela14[[#This Row],[REGIÃO02 - 3%]]</f>
        <v>33.022710000000004</v>
      </c>
      <c r="N61" s="51">
        <f>(Tabela14[[#This Row],[PRECO 3%]]*0.08)+Tabela14[[#This Row],[PRECO 3%]]</f>
        <v>32.043600000000005</v>
      </c>
      <c r="O61" s="51">
        <f>(Tabela14[[#This Row],[REGIÃO03-3%]]*0.06)+Tabela14[[#This Row],[REGIÃO03-3%]]</f>
        <v>33.966216000000003</v>
      </c>
      <c r="P61" s="52">
        <f>(Tabela14[[#This Row],[PRECO 3%]]*0.06)+Tabela14[[#This Row],[PRECO 3%]]</f>
        <v>31.450200000000006</v>
      </c>
      <c r="Q61" s="34">
        <f>(Tabela14[[#This Row],[REGIÃO04-3%]]*0.06)+Tabela14[[#This Row],[REGIÃO04-3%]]</f>
        <v>33.337212000000008</v>
      </c>
    </row>
    <row r="62" spans="1:17" x14ac:dyDescent="0.25">
      <c r="A62">
        <v>133</v>
      </c>
      <c r="B62" t="s">
        <v>21</v>
      </c>
      <c r="C62" t="s">
        <v>22</v>
      </c>
      <c r="D62" t="s">
        <v>8</v>
      </c>
      <c r="E62" s="1" t="s">
        <v>333</v>
      </c>
      <c r="F62">
        <f>VLOOKUP(Tabela14[[#This Row],[ID_COD]],Tabela2[],6,0)</f>
        <v>20</v>
      </c>
      <c r="G62" t="s">
        <v>193</v>
      </c>
      <c r="H62" s="46">
        <v>30.471891891891893</v>
      </c>
      <c r="I62" s="47">
        <f>Tabela14[[#This Row],[PRECO 3%]]+(Tabela14[[#This Row],[PRECO 3%]]*0.06)</f>
        <v>32.300205405405407</v>
      </c>
      <c r="J62" s="49">
        <f>(Tabela14[[#This Row],[PRECO 3%]]*0.1)+Tabela14[[#This Row],[PRECO 3%]]</f>
        <v>33.519081081081083</v>
      </c>
      <c r="K62" s="49">
        <f>(Tabela14[[#This Row],[REGIÃO01-3%]]*0.06)+Tabela14[[#This Row],[REGIÃO01-3%]]</f>
        <v>35.530225945945951</v>
      </c>
      <c r="L62" s="50">
        <f>(Tabela14[[#This Row],[PRECO 3%]]*0.05)+Tabela14[[#This Row],[PRECO 3%]]</f>
        <v>31.995486486486488</v>
      </c>
      <c r="M62" s="50">
        <f>(Tabela14[[#This Row],[REGIÃO02 - 3%]]*0.06)+Tabela14[[#This Row],[REGIÃO02 - 3%]]</f>
        <v>33.915215675675675</v>
      </c>
      <c r="N62" s="51">
        <f>(Tabela14[[#This Row],[PRECO 3%]]*0.08)+Tabela14[[#This Row],[PRECO 3%]]</f>
        <v>32.909643243243245</v>
      </c>
      <c r="O62" s="51">
        <f>(Tabela14[[#This Row],[REGIÃO03-3%]]*0.06)+Tabela14[[#This Row],[REGIÃO03-3%]]</f>
        <v>34.884221837837842</v>
      </c>
      <c r="P62" s="52">
        <f>(Tabela14[[#This Row],[PRECO 3%]]*0.06)+Tabela14[[#This Row],[PRECO 3%]]</f>
        <v>32.300205405405407</v>
      </c>
      <c r="Q62" s="34">
        <f>(Tabela14[[#This Row],[REGIÃO04-3%]]*0.06)+Tabela14[[#This Row],[REGIÃO04-3%]]</f>
        <v>34.238217729729733</v>
      </c>
    </row>
    <row r="63" spans="1:17" x14ac:dyDescent="0.25">
      <c r="A63">
        <v>134</v>
      </c>
      <c r="B63" t="s">
        <v>21</v>
      </c>
      <c r="C63" t="s">
        <v>22</v>
      </c>
      <c r="D63" t="s">
        <v>8</v>
      </c>
      <c r="E63" s="1" t="s">
        <v>334</v>
      </c>
      <c r="F63">
        <f>VLOOKUP(Tabela14[[#This Row],[ID_COD]],Tabela2[],6,0)</f>
        <v>20</v>
      </c>
      <c r="G63" t="s">
        <v>184</v>
      </c>
      <c r="H63" s="46">
        <v>31.273783783783788</v>
      </c>
      <c r="I63" s="47">
        <f>Tabela14[[#This Row],[PRECO 3%]]+(Tabela14[[#This Row],[PRECO 3%]]*0.06)</f>
        <v>33.150210810810812</v>
      </c>
      <c r="J63" s="49">
        <f>(Tabela14[[#This Row],[PRECO 3%]]*0.1)+Tabela14[[#This Row],[PRECO 3%]]</f>
        <v>34.401162162162166</v>
      </c>
      <c r="K63" s="49">
        <f>(Tabela14[[#This Row],[REGIÃO01-3%]]*0.06)+Tabela14[[#This Row],[REGIÃO01-3%]]</f>
        <v>36.465231891891897</v>
      </c>
      <c r="L63" s="50">
        <f>(Tabela14[[#This Row],[PRECO 3%]]*0.05)+Tabela14[[#This Row],[PRECO 3%]]</f>
        <v>32.837472972972975</v>
      </c>
      <c r="M63" s="50">
        <f>(Tabela14[[#This Row],[REGIÃO02 - 3%]]*0.06)+Tabela14[[#This Row],[REGIÃO02 - 3%]]</f>
        <v>34.807721351351354</v>
      </c>
      <c r="N63" s="51">
        <f>(Tabela14[[#This Row],[PRECO 3%]]*0.08)+Tabela14[[#This Row],[PRECO 3%]]</f>
        <v>33.775686486486492</v>
      </c>
      <c r="O63" s="51">
        <f>(Tabela14[[#This Row],[REGIÃO03-3%]]*0.06)+Tabela14[[#This Row],[REGIÃO03-3%]]</f>
        <v>35.802227675675681</v>
      </c>
      <c r="P63" s="52">
        <f>(Tabela14[[#This Row],[PRECO 3%]]*0.06)+Tabela14[[#This Row],[PRECO 3%]]</f>
        <v>33.150210810810812</v>
      </c>
      <c r="Q63" s="34">
        <f>(Tabela14[[#This Row],[REGIÃO04-3%]]*0.06)+Tabela14[[#This Row],[REGIÃO04-3%]]</f>
        <v>35.139223459459458</v>
      </c>
    </row>
    <row r="64" spans="1:17" x14ac:dyDescent="0.25">
      <c r="A64">
        <v>135</v>
      </c>
      <c r="B64" t="s">
        <v>21</v>
      </c>
      <c r="C64" t="s">
        <v>22</v>
      </c>
      <c r="D64" t="s">
        <v>8</v>
      </c>
      <c r="E64" s="1" t="s">
        <v>335</v>
      </c>
      <c r="F64">
        <f>VLOOKUP(Tabela14[[#This Row],[ID_COD]],Tabela2[],6,0)</f>
        <v>20</v>
      </c>
      <c r="G64" t="s">
        <v>195</v>
      </c>
      <c r="H64" s="46">
        <v>32.075675675675676</v>
      </c>
      <c r="I64" s="47">
        <f>Tabela14[[#This Row],[PRECO 3%]]+(Tabela14[[#This Row],[PRECO 3%]]*0.06)</f>
        <v>34.000216216216216</v>
      </c>
      <c r="J64" s="49">
        <f>(Tabela14[[#This Row],[PRECO 3%]]*0.1)+Tabela14[[#This Row],[PRECO 3%]]</f>
        <v>35.283243243243241</v>
      </c>
      <c r="K64" s="49">
        <f>(Tabela14[[#This Row],[REGIÃO01-3%]]*0.06)+Tabela14[[#This Row],[REGIÃO01-3%]]</f>
        <v>37.400237837837835</v>
      </c>
      <c r="L64" s="50">
        <f>(Tabela14[[#This Row],[PRECO 3%]]*0.05)+Tabela14[[#This Row],[PRECO 3%]]</f>
        <v>33.679459459459459</v>
      </c>
      <c r="M64" s="50">
        <f>(Tabela14[[#This Row],[REGIÃO02 - 3%]]*0.06)+Tabela14[[#This Row],[REGIÃO02 - 3%]]</f>
        <v>35.700227027027026</v>
      </c>
      <c r="N64" s="51">
        <f>(Tabela14[[#This Row],[PRECO 3%]]*0.08)+Tabela14[[#This Row],[PRECO 3%]]</f>
        <v>34.641729729729732</v>
      </c>
      <c r="O64" s="51">
        <f>(Tabela14[[#This Row],[REGIÃO03-3%]]*0.06)+Tabela14[[#This Row],[REGIÃO03-3%]]</f>
        <v>36.72023351351352</v>
      </c>
      <c r="P64" s="52">
        <f>(Tabela14[[#This Row],[PRECO 3%]]*0.06)+Tabela14[[#This Row],[PRECO 3%]]</f>
        <v>34.000216216216216</v>
      </c>
      <c r="Q64" s="34">
        <f>(Tabela14[[#This Row],[REGIÃO04-3%]]*0.06)+Tabela14[[#This Row],[REGIÃO04-3%]]</f>
        <v>36.040229189189191</v>
      </c>
    </row>
    <row r="65" spans="1:17" x14ac:dyDescent="0.25">
      <c r="A65">
        <v>136</v>
      </c>
      <c r="B65" t="s">
        <v>21</v>
      </c>
      <c r="C65" t="s">
        <v>22</v>
      </c>
      <c r="D65" t="s">
        <v>8</v>
      </c>
      <c r="E65" s="1" t="s">
        <v>336</v>
      </c>
      <c r="F65">
        <f>VLOOKUP(Tabela14[[#This Row],[ID_COD]],Tabela2[],6,0)</f>
        <v>0</v>
      </c>
      <c r="G65" t="s">
        <v>185</v>
      </c>
      <c r="H65" s="46">
        <v>32.877567567567567</v>
      </c>
      <c r="I65" s="47">
        <f>Tabela14[[#This Row],[PRECO 3%]]+(Tabela14[[#This Row],[PRECO 3%]]*0.06)</f>
        <v>34.850221621621621</v>
      </c>
      <c r="J65" s="49">
        <f>(Tabela14[[#This Row],[PRECO 3%]]*0.1)+Tabela14[[#This Row],[PRECO 3%]]</f>
        <v>36.165324324324324</v>
      </c>
      <c r="K65" s="49">
        <f>(Tabela14[[#This Row],[REGIÃO01-3%]]*0.06)+Tabela14[[#This Row],[REGIÃO01-3%]]</f>
        <v>38.335243783783781</v>
      </c>
      <c r="L65" s="50">
        <f>(Tabela14[[#This Row],[PRECO 3%]]*0.05)+Tabela14[[#This Row],[PRECO 3%]]</f>
        <v>34.521445945945942</v>
      </c>
      <c r="M65" s="50">
        <f>(Tabela14[[#This Row],[REGIÃO02 - 3%]]*0.06)+Tabela14[[#This Row],[REGIÃO02 - 3%]]</f>
        <v>36.592732702702698</v>
      </c>
      <c r="N65" s="51">
        <f>(Tabela14[[#This Row],[PRECO 3%]]*0.08)+Tabela14[[#This Row],[PRECO 3%]]</f>
        <v>35.507772972972973</v>
      </c>
      <c r="O65" s="51">
        <f>(Tabela14[[#This Row],[REGIÃO03-3%]]*0.06)+Tabela14[[#This Row],[REGIÃO03-3%]]</f>
        <v>37.638239351351352</v>
      </c>
      <c r="P65" s="52">
        <f>(Tabela14[[#This Row],[PRECO 3%]]*0.06)+Tabela14[[#This Row],[PRECO 3%]]</f>
        <v>34.850221621621621</v>
      </c>
      <c r="Q65" s="34">
        <f>(Tabela14[[#This Row],[REGIÃO04-3%]]*0.06)+Tabela14[[#This Row],[REGIÃO04-3%]]</f>
        <v>36.941234918918916</v>
      </c>
    </row>
    <row r="66" spans="1:17" x14ac:dyDescent="0.25">
      <c r="A66">
        <v>152</v>
      </c>
      <c r="B66" t="s">
        <v>3</v>
      </c>
      <c r="C66" t="s">
        <v>5</v>
      </c>
      <c r="D66" t="s">
        <v>8</v>
      </c>
      <c r="E66" s="1" t="s">
        <v>322</v>
      </c>
      <c r="F66">
        <f>VLOOKUP(Tabela14[[#This Row],[ID_COD]],Tabela2[],6,0)</f>
        <v>1000</v>
      </c>
      <c r="G66" t="s">
        <v>255</v>
      </c>
      <c r="H66" s="2">
        <f>VLOOKUP(A66,'Tabela de preços'!A4:H91,8,FALSE)</f>
        <v>0.47520000000000001</v>
      </c>
      <c r="I66" s="34">
        <f>Tabela14[[#This Row],[PRECO 3%]]+(Tabela14[[#This Row],[PRECO 3%]]*0.06)</f>
        <v>0.50371200000000005</v>
      </c>
      <c r="J66" s="34"/>
      <c r="K66" s="34">
        <f>(Tabela14[[#This Row],[REGIÃO01-3%]]*0.06)+Tabela14[[#This Row],[REGIÃO01-3%]]</f>
        <v>0</v>
      </c>
      <c r="L66" s="34">
        <f>(Tabela14[[#This Row],[PRECO 3%]]*0.05)+Tabela14[[#This Row],[PRECO 3%]]</f>
        <v>0.49896000000000001</v>
      </c>
      <c r="M66" s="34">
        <f>(Tabela14[[#This Row],[REGIÃO02 - 3%]]*0.06)+Tabela14[[#This Row],[REGIÃO02 - 3%]]</f>
        <v>0.52889759999999997</v>
      </c>
      <c r="N66" s="34">
        <f>(Tabela14[[#This Row],[PRECO 3%]]*0.08)+Tabela14[[#This Row],[PRECO 3%]]</f>
        <v>0.51321600000000001</v>
      </c>
      <c r="O66" s="34">
        <f>(Tabela14[[#This Row],[REGIÃO03-3%]]*0.06)+Tabela14[[#This Row],[REGIÃO03-3%]]</f>
        <v>0.54400895999999999</v>
      </c>
      <c r="P66" s="34">
        <f>(Tabela14[[#This Row],[PRECO 3%]]*0.06)+Tabela14[[#This Row],[PRECO 3%]]</f>
        <v>0.50371200000000005</v>
      </c>
      <c r="Q66" s="34">
        <f>(Tabela14[[#This Row],[REGIÃO04-3%]]*0.06)+Tabela14[[#This Row],[REGIÃO04-3%]]</f>
        <v>0.53393472000000008</v>
      </c>
    </row>
    <row r="67" spans="1:17" x14ac:dyDescent="0.25">
      <c r="A67">
        <v>153</v>
      </c>
      <c r="B67" t="s">
        <v>3</v>
      </c>
      <c r="C67" t="s">
        <v>6</v>
      </c>
      <c r="D67" t="s">
        <v>8</v>
      </c>
      <c r="E67" s="1" t="s">
        <v>322</v>
      </c>
      <c r="F67">
        <f>VLOOKUP(Tabela14[[#This Row],[ID_COD]],Tabela2[],6,0)</f>
        <v>1000</v>
      </c>
      <c r="G67" t="s">
        <v>256</v>
      </c>
      <c r="H67" s="2">
        <f>VLOOKUP(A67,'Tabela de preços'!A5:H92,8,FALSE)</f>
        <v>0.50759999999999994</v>
      </c>
      <c r="I67" s="34">
        <f>Tabela14[[#This Row],[PRECO 3%]]+(Tabela14[[#This Row],[PRECO 3%]]*0.06)</f>
        <v>0.53805599999999998</v>
      </c>
      <c r="J67" s="34"/>
      <c r="K67" s="34">
        <f>(Tabela14[[#This Row],[REGIÃO01-3%]]*0.06)+Tabela14[[#This Row],[REGIÃO01-3%]]</f>
        <v>0</v>
      </c>
      <c r="L67" s="34">
        <f>(Tabela14[[#This Row],[PRECO 3%]]*0.05)+Tabela14[[#This Row],[PRECO 3%]]</f>
        <v>0.5329799999999999</v>
      </c>
      <c r="M67" s="34">
        <f>(Tabela14[[#This Row],[REGIÃO02 - 3%]]*0.06)+Tabela14[[#This Row],[REGIÃO02 - 3%]]</f>
        <v>0.56495879999999987</v>
      </c>
      <c r="N67" s="34">
        <f>(Tabela14[[#This Row],[PRECO 3%]]*0.08)+Tabela14[[#This Row],[PRECO 3%]]</f>
        <v>0.54820799999999992</v>
      </c>
      <c r="O67" s="34">
        <f>(Tabela14[[#This Row],[REGIÃO03-3%]]*0.06)+Tabela14[[#This Row],[REGIÃO03-3%]]</f>
        <v>0.58110047999999992</v>
      </c>
      <c r="P67" s="34">
        <f>(Tabela14[[#This Row],[PRECO 3%]]*0.06)+Tabela14[[#This Row],[PRECO 3%]]</f>
        <v>0.53805599999999998</v>
      </c>
      <c r="Q67" s="34">
        <f>(Tabela14[[#This Row],[REGIÃO04-3%]]*0.06)+Tabela14[[#This Row],[REGIÃO04-3%]]</f>
        <v>0.57033935999999996</v>
      </c>
    </row>
    <row r="68" spans="1:17" x14ac:dyDescent="0.25">
      <c r="A68">
        <v>154</v>
      </c>
      <c r="B68" t="s">
        <v>3</v>
      </c>
      <c r="C68" t="s">
        <v>7</v>
      </c>
      <c r="D68" t="s">
        <v>8</v>
      </c>
      <c r="E68" s="1" t="s">
        <v>322</v>
      </c>
      <c r="F68">
        <f>VLOOKUP(Tabela14[[#This Row],[ID_COD]],Tabela2[],6,0)</f>
        <v>1000</v>
      </c>
      <c r="G68" t="s">
        <v>259</v>
      </c>
      <c r="H68" s="2">
        <f>VLOOKUP(A68,'Tabela de preços'!A6:H93,8,FALSE)</f>
        <v>0.5292</v>
      </c>
      <c r="I68" s="34">
        <f>Tabela14[[#This Row],[PRECO 3%]]+(Tabela14[[#This Row],[PRECO 3%]]*0.06)</f>
        <v>0.56095200000000001</v>
      </c>
      <c r="J68" s="34"/>
      <c r="K68" s="34">
        <f>(Tabela14[[#This Row],[REGIÃO01-3%]]*0.06)+Tabela14[[#This Row],[REGIÃO01-3%]]</f>
        <v>0</v>
      </c>
      <c r="L68" s="34">
        <f>(Tabela14[[#This Row],[PRECO 3%]]*0.05)+Tabela14[[#This Row],[PRECO 3%]]</f>
        <v>0.55566000000000004</v>
      </c>
      <c r="M68" s="34">
        <f>(Tabela14[[#This Row],[REGIÃO02 - 3%]]*0.06)+Tabela14[[#This Row],[REGIÃO02 - 3%]]</f>
        <v>0.58899960000000007</v>
      </c>
      <c r="N68" s="34">
        <f>(Tabela14[[#This Row],[PRECO 3%]]*0.08)+Tabela14[[#This Row],[PRECO 3%]]</f>
        <v>0.57153600000000004</v>
      </c>
      <c r="O68" s="34">
        <f>(Tabela14[[#This Row],[REGIÃO03-3%]]*0.06)+Tabela14[[#This Row],[REGIÃO03-3%]]</f>
        <v>0.60582816000000006</v>
      </c>
      <c r="P68" s="34">
        <f>(Tabela14[[#This Row],[PRECO 3%]]*0.06)+Tabela14[[#This Row],[PRECO 3%]]</f>
        <v>0.56095200000000001</v>
      </c>
      <c r="Q68" s="34">
        <f>(Tabela14[[#This Row],[REGIÃO04-3%]]*0.06)+Tabela14[[#This Row],[REGIÃO04-3%]]</f>
        <v>0.59460911999999999</v>
      </c>
    </row>
    <row r="69" spans="1:17" x14ac:dyDescent="0.25">
      <c r="A69">
        <v>155</v>
      </c>
      <c r="B69" t="s">
        <v>10</v>
      </c>
      <c r="C69" t="s">
        <v>13</v>
      </c>
      <c r="D69" t="s">
        <v>8</v>
      </c>
      <c r="E69" s="1" t="s">
        <v>322</v>
      </c>
      <c r="F69">
        <f>VLOOKUP(Tabela14[[#This Row],[ID_COD]],Tabela2[],6,0)</f>
        <v>12</v>
      </c>
      <c r="G69" t="s">
        <v>179</v>
      </c>
      <c r="H69" s="2">
        <v>71</v>
      </c>
      <c r="I69" s="34">
        <f>Tabela14[[#This Row],[PRECO 3%]]+(Tabela14[[#This Row],[PRECO 3%]]*0.06)</f>
        <v>75.260000000000005</v>
      </c>
      <c r="J69" s="34"/>
      <c r="K69" s="34">
        <f>(Tabela14[[#This Row],[REGIÃO01-3%]]*0.06)+Tabela14[[#This Row],[REGIÃO01-3%]]</f>
        <v>0</v>
      </c>
      <c r="L69" s="34">
        <f>(Tabela14[[#This Row],[PRECO 3%]]*0.05)+Tabela14[[#This Row],[PRECO 3%]]</f>
        <v>74.55</v>
      </c>
      <c r="M69" s="34">
        <f>(Tabela14[[#This Row],[REGIÃO02 - 3%]]*0.06)+Tabela14[[#This Row],[REGIÃO02 - 3%]]</f>
        <v>79.022999999999996</v>
      </c>
      <c r="N69" s="34">
        <f>(Tabela14[[#This Row],[PRECO 3%]]*0.08)+Tabela14[[#This Row],[PRECO 3%]]</f>
        <v>76.680000000000007</v>
      </c>
      <c r="O69" s="34">
        <f>(Tabela14[[#This Row],[REGIÃO03-3%]]*0.06)+Tabela14[[#This Row],[REGIÃO03-3%]]</f>
        <v>81.280800000000013</v>
      </c>
      <c r="P69" s="34">
        <f>(Tabela14[[#This Row],[PRECO 3%]]*0.06)+Tabela14[[#This Row],[PRECO 3%]]</f>
        <v>75.260000000000005</v>
      </c>
      <c r="Q69" s="34">
        <f>(Tabela14[[#This Row],[REGIÃO04-3%]]*0.06)+Tabela14[[#This Row],[REGIÃO04-3%]]</f>
        <v>79.775600000000011</v>
      </c>
    </row>
    <row r="70" spans="1:17" x14ac:dyDescent="0.25">
      <c r="A70">
        <v>157</v>
      </c>
      <c r="B70" t="s">
        <v>10</v>
      </c>
      <c r="C70" t="s">
        <v>11</v>
      </c>
      <c r="D70" t="s">
        <v>8</v>
      </c>
      <c r="E70" s="1" t="s">
        <v>322</v>
      </c>
      <c r="F70">
        <f>VLOOKUP(Tabela14[[#This Row],[ID_COD]],Tabela2[],6,0)</f>
        <v>300</v>
      </c>
      <c r="G70" t="s">
        <v>174</v>
      </c>
      <c r="H70" s="2" t="e">
        <f>VLOOKUP(A70,'Tabela de preços'!A13:H100,8,FALSE)</f>
        <v>#N/A</v>
      </c>
      <c r="I70" s="34" t="e">
        <f>Tabela14[[#This Row],[PRECO 3%]]+(Tabela14[[#This Row],[PRECO 3%]]*0.06)</f>
        <v>#N/A</v>
      </c>
      <c r="J70" s="34"/>
      <c r="K70" s="34">
        <f>(Tabela14[[#This Row],[REGIÃO01-3%]]*0.06)+Tabela14[[#This Row],[REGIÃO01-3%]]</f>
        <v>0</v>
      </c>
      <c r="L70" s="34" t="e">
        <f>(Tabela14[[#This Row],[PRECO 3%]]*0.05)+Tabela14[[#This Row],[PRECO 3%]]</f>
        <v>#N/A</v>
      </c>
      <c r="M70" s="34" t="e">
        <f>(Tabela14[[#This Row],[REGIÃO02 - 3%]]*0.06)+Tabela14[[#This Row],[REGIÃO02 - 3%]]</f>
        <v>#N/A</v>
      </c>
      <c r="N70" s="34" t="e">
        <f>(Tabela14[[#This Row],[PRECO 3%]]*0.08)+Tabela14[[#This Row],[PRECO 3%]]</f>
        <v>#N/A</v>
      </c>
      <c r="O70" s="34" t="e">
        <f>(Tabela14[[#This Row],[REGIÃO03-3%]]*0.06)+Tabela14[[#This Row],[REGIÃO03-3%]]</f>
        <v>#N/A</v>
      </c>
      <c r="P70" s="34" t="e">
        <f>(Tabela14[[#This Row],[PRECO 3%]]*0.06)+Tabela14[[#This Row],[PRECO 3%]]</f>
        <v>#N/A</v>
      </c>
      <c r="Q70" s="34" t="e">
        <f>(Tabela14[[#This Row],[REGIÃO04-3%]]*0.06)+Tabela14[[#This Row],[REGIÃO04-3%]]</f>
        <v>#N/A</v>
      </c>
    </row>
    <row r="71" spans="1:17" x14ac:dyDescent="0.25">
      <c r="A71">
        <v>158</v>
      </c>
      <c r="B71" t="s">
        <v>10</v>
      </c>
      <c r="C71" t="s">
        <v>12</v>
      </c>
      <c r="D71" t="s">
        <v>8</v>
      </c>
      <c r="E71" s="1" t="s">
        <v>322</v>
      </c>
      <c r="F71">
        <f>VLOOKUP(Tabela14[[#This Row],[ID_COD]],Tabela2[],6,0)</f>
        <v>150</v>
      </c>
      <c r="G71" t="s">
        <v>176</v>
      </c>
      <c r="H71" s="2">
        <f>VLOOKUP(A71,'Tabela de preços'!A14:H101,8,FALSE)</f>
        <v>7.1894</v>
      </c>
      <c r="I71" s="34">
        <f>Tabela14[[#This Row],[PRECO 3%]]+(Tabela14[[#This Row],[PRECO 3%]]*0.06)</f>
        <v>7.6207640000000003</v>
      </c>
      <c r="J71" s="34"/>
      <c r="K71" s="34">
        <f>(Tabela14[[#This Row],[REGIÃO01-3%]]*0.06)+Tabela14[[#This Row],[REGIÃO01-3%]]</f>
        <v>0</v>
      </c>
      <c r="L71" s="34">
        <f>(Tabela14[[#This Row],[PRECO 3%]]*0.05)+Tabela14[[#This Row],[PRECO 3%]]</f>
        <v>7.54887</v>
      </c>
      <c r="M71" s="34">
        <f>(Tabela14[[#This Row],[REGIÃO02 - 3%]]*0.06)+Tabela14[[#This Row],[REGIÃO02 - 3%]]</f>
        <v>8.0018022000000002</v>
      </c>
      <c r="N71" s="34">
        <f>(Tabela14[[#This Row],[PRECO 3%]]*0.08)+Tabela14[[#This Row],[PRECO 3%]]</f>
        <v>7.7645520000000001</v>
      </c>
      <c r="O71" s="34">
        <f>(Tabela14[[#This Row],[REGIÃO03-3%]]*0.06)+Tabela14[[#This Row],[REGIÃO03-3%]]</f>
        <v>8.2304251199999996</v>
      </c>
      <c r="P71" s="34">
        <f>(Tabela14[[#This Row],[PRECO 3%]]*0.06)+Tabela14[[#This Row],[PRECO 3%]]</f>
        <v>7.6207640000000003</v>
      </c>
      <c r="Q71" s="34">
        <f>(Tabela14[[#This Row],[REGIÃO04-3%]]*0.06)+Tabela14[[#This Row],[REGIÃO04-3%]]</f>
        <v>8.07800984</v>
      </c>
    </row>
    <row r="72" spans="1:17" x14ac:dyDescent="0.25">
      <c r="A72">
        <v>159</v>
      </c>
      <c r="B72" t="s">
        <v>27</v>
      </c>
      <c r="C72" t="s">
        <v>45</v>
      </c>
      <c r="D72" t="s">
        <v>59</v>
      </c>
      <c r="E72" s="1" t="s">
        <v>322</v>
      </c>
      <c r="F72">
        <f>VLOOKUP(Tabela14[[#This Row],[ID_COD]],Tabela2[],6,0)</f>
        <v>110</v>
      </c>
      <c r="G72" t="s">
        <v>112</v>
      </c>
      <c r="H72" s="2">
        <v>4.6399999999999997</v>
      </c>
      <c r="I72" s="34">
        <f>Tabela14[[#This Row],[PRECO 3%]]+(Tabela14[[#This Row],[PRECO 3%]]*0.06)</f>
        <v>4.9184000000000001</v>
      </c>
      <c r="J72" s="34"/>
      <c r="K72" s="34">
        <f>(Tabela14[[#This Row],[REGIÃO01-3%]]*0.06)+Tabela14[[#This Row],[REGIÃO01-3%]]</f>
        <v>0</v>
      </c>
      <c r="L72" s="34">
        <f>(Tabela14[[#This Row],[PRECO 3%]]*0.05)+Tabela14[[#This Row],[PRECO 3%]]</f>
        <v>4.8719999999999999</v>
      </c>
      <c r="M72" s="34">
        <f>(Tabela14[[#This Row],[REGIÃO02 - 3%]]*0.06)+Tabela14[[#This Row],[REGIÃO02 - 3%]]</f>
        <v>5.16432</v>
      </c>
      <c r="N72" s="34">
        <f>(Tabela14[[#This Row],[PRECO 3%]]*0.08)+Tabela14[[#This Row],[PRECO 3%]]</f>
        <v>5.0111999999999997</v>
      </c>
      <c r="O72" s="34">
        <f>(Tabela14[[#This Row],[REGIÃO03-3%]]*0.06)+Tabela14[[#This Row],[REGIÃO03-3%]]</f>
        <v>5.3118719999999993</v>
      </c>
      <c r="P72" s="34">
        <f>(Tabela14[[#This Row],[PRECO 3%]]*0.06)+Tabela14[[#This Row],[PRECO 3%]]</f>
        <v>4.9184000000000001</v>
      </c>
      <c r="Q72" s="34">
        <f>(Tabela14[[#This Row],[REGIÃO04-3%]]*0.06)+Tabela14[[#This Row],[REGIÃO04-3%]]</f>
        <v>5.2135040000000004</v>
      </c>
    </row>
    <row r="73" spans="1:17" x14ac:dyDescent="0.25">
      <c r="A73">
        <v>160</v>
      </c>
      <c r="B73" t="s">
        <v>27</v>
      </c>
      <c r="C73" t="s">
        <v>47</v>
      </c>
      <c r="D73" t="s">
        <v>59</v>
      </c>
      <c r="E73" s="1" t="s">
        <v>322</v>
      </c>
      <c r="F73">
        <f>VLOOKUP(Tabela14[[#This Row],[ID_COD]],Tabela2[],6,0)</f>
        <v>80</v>
      </c>
      <c r="G73" t="s">
        <v>139</v>
      </c>
      <c r="H73" s="2">
        <v>6.57</v>
      </c>
      <c r="I73" s="34">
        <f>Tabela14[[#This Row],[PRECO 3%]]+(Tabela14[[#This Row],[PRECO 3%]]*0.06)</f>
        <v>6.9641999999999999</v>
      </c>
      <c r="J73" s="34"/>
      <c r="K73" s="34">
        <f>(Tabela14[[#This Row],[REGIÃO01-3%]]*0.06)+Tabela14[[#This Row],[REGIÃO01-3%]]</f>
        <v>0</v>
      </c>
      <c r="L73" s="34">
        <f>(Tabela14[[#This Row],[PRECO 3%]]*0.05)+Tabela14[[#This Row],[PRECO 3%]]</f>
        <v>6.8985000000000003</v>
      </c>
      <c r="M73" s="34">
        <f>(Tabela14[[#This Row],[REGIÃO02 - 3%]]*0.06)+Tabela14[[#This Row],[REGIÃO02 - 3%]]</f>
        <v>7.3124099999999999</v>
      </c>
      <c r="N73" s="34">
        <f>(Tabela14[[#This Row],[PRECO 3%]]*0.08)+Tabela14[[#This Row],[PRECO 3%]]</f>
        <v>7.0956000000000001</v>
      </c>
      <c r="O73" s="34">
        <f>(Tabela14[[#This Row],[REGIÃO03-3%]]*0.06)+Tabela14[[#This Row],[REGIÃO03-3%]]</f>
        <v>7.5213359999999998</v>
      </c>
      <c r="P73" s="34">
        <f>(Tabela14[[#This Row],[PRECO 3%]]*0.06)+Tabela14[[#This Row],[PRECO 3%]]</f>
        <v>6.9641999999999999</v>
      </c>
      <c r="Q73" s="34">
        <f>(Tabela14[[#This Row],[REGIÃO04-3%]]*0.06)+Tabela14[[#This Row],[REGIÃO04-3%]]</f>
        <v>7.3820519999999998</v>
      </c>
    </row>
    <row r="74" spans="1:17" x14ac:dyDescent="0.25">
      <c r="A74">
        <v>161</v>
      </c>
      <c r="B74" t="s">
        <v>27</v>
      </c>
      <c r="C74" t="s">
        <v>48</v>
      </c>
      <c r="D74" t="s">
        <v>59</v>
      </c>
      <c r="E74" s="1" t="s">
        <v>322</v>
      </c>
      <c r="F74">
        <f>VLOOKUP(Tabela14[[#This Row],[ID_COD]],Tabela2[],6,0)</f>
        <v>70</v>
      </c>
      <c r="G74" t="s">
        <v>152</v>
      </c>
      <c r="H74" s="2">
        <v>8.4499999999999993</v>
      </c>
      <c r="I74" s="34">
        <f>Tabela14[[#This Row],[PRECO 3%]]+(Tabela14[[#This Row],[PRECO 3%]]*0.06)</f>
        <v>8.956999999999999</v>
      </c>
      <c r="J74" s="34"/>
      <c r="K74" s="34">
        <f>(Tabela14[[#This Row],[REGIÃO01-3%]]*0.06)+Tabela14[[#This Row],[REGIÃO01-3%]]</f>
        <v>0</v>
      </c>
      <c r="L74" s="34">
        <f>(Tabela14[[#This Row],[PRECO 3%]]*0.05)+Tabela14[[#This Row],[PRECO 3%]]</f>
        <v>8.8724999999999987</v>
      </c>
      <c r="M74" s="34">
        <f>(Tabela14[[#This Row],[REGIÃO02 - 3%]]*0.06)+Tabela14[[#This Row],[REGIÃO02 - 3%]]</f>
        <v>9.4048499999999979</v>
      </c>
      <c r="N74" s="34">
        <f>(Tabela14[[#This Row],[PRECO 3%]]*0.08)+Tabela14[[#This Row],[PRECO 3%]]</f>
        <v>9.1259999999999994</v>
      </c>
      <c r="O74" s="34">
        <f>(Tabela14[[#This Row],[REGIÃO03-3%]]*0.06)+Tabela14[[#This Row],[REGIÃO03-3%]]</f>
        <v>9.6735600000000002</v>
      </c>
      <c r="P74" s="34">
        <f>(Tabela14[[#This Row],[PRECO 3%]]*0.06)+Tabela14[[#This Row],[PRECO 3%]]</f>
        <v>8.956999999999999</v>
      </c>
      <c r="Q74" s="34">
        <f>(Tabela14[[#This Row],[REGIÃO04-3%]]*0.06)+Tabela14[[#This Row],[REGIÃO04-3%]]</f>
        <v>9.4944199999999981</v>
      </c>
    </row>
    <row r="75" spans="1:17" x14ac:dyDescent="0.25">
      <c r="A75">
        <v>162</v>
      </c>
      <c r="B75" t="s">
        <v>27</v>
      </c>
      <c r="C75" t="s">
        <v>50</v>
      </c>
      <c r="D75" t="s">
        <v>59</v>
      </c>
      <c r="E75" s="1" t="s">
        <v>322</v>
      </c>
      <c r="F75">
        <f>VLOOKUP(Tabela14[[#This Row],[ID_COD]],Tabela2[],6,0)</f>
        <v>45</v>
      </c>
      <c r="G75" t="s">
        <v>160</v>
      </c>
      <c r="H75" s="2">
        <v>12.58</v>
      </c>
      <c r="I75" s="34">
        <f>Tabela14[[#This Row],[PRECO 3%]]+(Tabela14[[#This Row],[PRECO 3%]]*0.06)</f>
        <v>13.3348</v>
      </c>
      <c r="J75" s="34"/>
      <c r="K75" s="34">
        <f>(Tabela14[[#This Row],[REGIÃO01-3%]]*0.06)+Tabela14[[#This Row],[REGIÃO01-3%]]</f>
        <v>0</v>
      </c>
      <c r="L75" s="34">
        <f>(Tabela14[[#This Row],[PRECO 3%]]*0.05)+Tabela14[[#This Row],[PRECO 3%]]</f>
        <v>13.209</v>
      </c>
      <c r="M75" s="34">
        <f>(Tabela14[[#This Row],[REGIÃO02 - 3%]]*0.06)+Tabela14[[#This Row],[REGIÃO02 - 3%]]</f>
        <v>14.00154</v>
      </c>
      <c r="N75" s="34">
        <f>(Tabela14[[#This Row],[PRECO 3%]]*0.08)+Tabela14[[#This Row],[PRECO 3%]]</f>
        <v>13.586399999999999</v>
      </c>
      <c r="O75" s="34">
        <f>(Tabela14[[#This Row],[REGIÃO03-3%]]*0.06)+Tabela14[[#This Row],[REGIÃO03-3%]]</f>
        <v>14.401584</v>
      </c>
      <c r="P75" s="34">
        <f>(Tabela14[[#This Row],[PRECO 3%]]*0.06)+Tabela14[[#This Row],[PRECO 3%]]</f>
        <v>13.3348</v>
      </c>
      <c r="Q75" s="34">
        <f>(Tabela14[[#This Row],[REGIÃO04-3%]]*0.06)+Tabela14[[#This Row],[REGIÃO04-3%]]</f>
        <v>14.134888</v>
      </c>
    </row>
    <row r="76" spans="1:17" x14ac:dyDescent="0.25">
      <c r="A76">
        <v>163</v>
      </c>
      <c r="B76" t="s">
        <v>27</v>
      </c>
      <c r="C76" t="s">
        <v>30</v>
      </c>
      <c r="D76" t="s">
        <v>58</v>
      </c>
      <c r="E76" s="1" t="s">
        <v>322</v>
      </c>
      <c r="F76" t="s">
        <v>701</v>
      </c>
      <c r="G76" t="s">
        <v>111</v>
      </c>
      <c r="H76" s="2">
        <v>3.97</v>
      </c>
      <c r="I76" s="34">
        <f>Tabela14[[#This Row],[PRECO 3%]]+(Tabela14[[#This Row],[PRECO 3%]]*0.06)</f>
        <v>4.2082000000000006</v>
      </c>
      <c r="J76" s="34"/>
      <c r="K76" s="34">
        <f>(Tabela14[[#This Row],[REGIÃO01-3%]]*0.06)+Tabela14[[#This Row],[REGIÃO01-3%]]</f>
        <v>0</v>
      </c>
      <c r="L76" s="34">
        <f>(Tabela14[[#This Row],[PRECO 3%]]*0.05)+Tabela14[[#This Row],[PRECO 3%]]</f>
        <v>4.1684999999999999</v>
      </c>
      <c r="M76" s="34">
        <f>(Tabela14[[#This Row],[REGIÃO02 - 3%]]*0.06)+Tabela14[[#This Row],[REGIÃO02 - 3%]]</f>
        <v>4.4186100000000001</v>
      </c>
      <c r="N76" s="34">
        <f>(Tabela14[[#This Row],[PRECO 3%]]*0.08)+Tabela14[[#This Row],[PRECO 3%]]</f>
        <v>4.2876000000000003</v>
      </c>
      <c r="O76" s="34">
        <f>(Tabela14[[#This Row],[REGIÃO03-3%]]*0.06)+Tabela14[[#This Row],[REGIÃO03-3%]]</f>
        <v>4.5448560000000002</v>
      </c>
      <c r="P76" s="34">
        <f>(Tabela14[[#This Row],[PRECO 3%]]*0.06)+Tabela14[[#This Row],[PRECO 3%]]</f>
        <v>4.2082000000000006</v>
      </c>
      <c r="Q76" s="34">
        <f>(Tabela14[[#This Row],[REGIÃO04-3%]]*0.06)+Tabela14[[#This Row],[REGIÃO04-3%]]</f>
        <v>4.4606920000000008</v>
      </c>
    </row>
    <row r="77" spans="1:17" x14ac:dyDescent="0.25">
      <c r="A77">
        <v>164</v>
      </c>
      <c r="B77" t="s">
        <v>27</v>
      </c>
      <c r="C77" t="s">
        <v>32</v>
      </c>
      <c r="D77" t="s">
        <v>58</v>
      </c>
      <c r="E77" s="1" t="s">
        <v>322</v>
      </c>
      <c r="F77" t="s">
        <v>699</v>
      </c>
      <c r="G77" t="s">
        <v>137</v>
      </c>
      <c r="H77" s="2">
        <v>5.63</v>
      </c>
      <c r="I77" s="34">
        <f>Tabela14[[#This Row],[PRECO 3%]]+(Tabela14[[#This Row],[PRECO 3%]]*0.06)</f>
        <v>5.9677999999999995</v>
      </c>
      <c r="J77" s="34"/>
      <c r="K77" s="34">
        <f>(Tabela14[[#This Row],[REGIÃO01-3%]]*0.06)+Tabela14[[#This Row],[REGIÃO01-3%]]</f>
        <v>0</v>
      </c>
      <c r="L77" s="34">
        <f>(Tabela14[[#This Row],[PRECO 3%]]*0.05)+Tabela14[[#This Row],[PRECO 3%]]</f>
        <v>5.9115000000000002</v>
      </c>
      <c r="M77" s="34">
        <f>(Tabela14[[#This Row],[REGIÃO02 - 3%]]*0.06)+Tabela14[[#This Row],[REGIÃO02 - 3%]]</f>
        <v>6.2661899999999999</v>
      </c>
      <c r="N77" s="34">
        <f>(Tabela14[[#This Row],[PRECO 3%]]*0.08)+Tabela14[[#This Row],[PRECO 3%]]</f>
        <v>6.0804</v>
      </c>
      <c r="O77" s="34">
        <f>(Tabela14[[#This Row],[REGIÃO03-3%]]*0.06)+Tabela14[[#This Row],[REGIÃO03-3%]]</f>
        <v>6.4452239999999996</v>
      </c>
      <c r="P77" s="34">
        <f>(Tabela14[[#This Row],[PRECO 3%]]*0.06)+Tabela14[[#This Row],[PRECO 3%]]</f>
        <v>5.9677999999999995</v>
      </c>
      <c r="Q77" s="34">
        <f>(Tabela14[[#This Row],[REGIÃO04-3%]]*0.06)+Tabela14[[#This Row],[REGIÃO04-3%]]</f>
        <v>6.3258679999999998</v>
      </c>
    </row>
    <row r="78" spans="1:17" x14ac:dyDescent="0.25">
      <c r="A78">
        <v>165</v>
      </c>
      <c r="B78" t="s">
        <v>27</v>
      </c>
      <c r="C78" t="s">
        <v>33</v>
      </c>
      <c r="D78" t="s">
        <v>58</v>
      </c>
      <c r="E78" s="1" t="s">
        <v>322</v>
      </c>
      <c r="F78" t="s">
        <v>698</v>
      </c>
      <c r="G78" t="s">
        <v>149</v>
      </c>
      <c r="H78" s="2">
        <v>7.25</v>
      </c>
      <c r="I78" s="34">
        <f>Tabela14[[#This Row],[PRECO 3%]]+(Tabela14[[#This Row],[PRECO 3%]]*0.06)</f>
        <v>7.6849999999999996</v>
      </c>
      <c r="J78" s="34"/>
      <c r="K78" s="34">
        <f>(Tabela14[[#This Row],[REGIÃO01-3%]]*0.06)+Tabela14[[#This Row],[REGIÃO01-3%]]</f>
        <v>0</v>
      </c>
      <c r="L78" s="34">
        <f>(Tabela14[[#This Row],[PRECO 3%]]*0.05)+Tabela14[[#This Row],[PRECO 3%]]</f>
        <v>7.6124999999999998</v>
      </c>
      <c r="M78" s="34">
        <f>(Tabela14[[#This Row],[REGIÃO02 - 3%]]*0.06)+Tabela14[[#This Row],[REGIÃO02 - 3%]]</f>
        <v>8.0692500000000003</v>
      </c>
      <c r="N78" s="34">
        <f>(Tabela14[[#This Row],[PRECO 3%]]*0.08)+Tabela14[[#This Row],[PRECO 3%]]</f>
        <v>7.83</v>
      </c>
      <c r="O78" s="34">
        <f>(Tabela14[[#This Row],[REGIÃO03-3%]]*0.06)+Tabela14[[#This Row],[REGIÃO03-3%]]</f>
        <v>8.2997999999999994</v>
      </c>
      <c r="P78" s="34">
        <f>(Tabela14[[#This Row],[PRECO 3%]]*0.06)+Tabela14[[#This Row],[PRECO 3%]]</f>
        <v>7.6849999999999996</v>
      </c>
      <c r="Q78" s="34">
        <f>(Tabela14[[#This Row],[REGIÃO04-3%]]*0.06)+Tabela14[[#This Row],[REGIÃO04-3%]]</f>
        <v>8.1460999999999988</v>
      </c>
    </row>
    <row r="79" spans="1:17" x14ac:dyDescent="0.25">
      <c r="A79">
        <v>166</v>
      </c>
      <c r="B79" t="s">
        <v>27</v>
      </c>
      <c r="C79" t="s">
        <v>35</v>
      </c>
      <c r="D79" t="s">
        <v>58</v>
      </c>
      <c r="E79" s="1" t="s">
        <v>322</v>
      </c>
      <c r="F79" t="s">
        <v>697</v>
      </c>
      <c r="G79" t="s">
        <v>157</v>
      </c>
      <c r="H79" s="2">
        <v>10.74</v>
      </c>
      <c r="I79" s="34">
        <f>Tabela14[[#This Row],[PRECO 3%]]+(Tabela14[[#This Row],[PRECO 3%]]*0.06)</f>
        <v>11.384399999999999</v>
      </c>
      <c r="J79" s="34"/>
      <c r="K79" s="34">
        <f>(Tabela14[[#This Row],[REGIÃO01-3%]]*0.06)+Tabela14[[#This Row],[REGIÃO01-3%]]</f>
        <v>0</v>
      </c>
      <c r="L79" s="34">
        <f>(Tabela14[[#This Row],[PRECO 3%]]*0.05)+Tabela14[[#This Row],[PRECO 3%]]</f>
        <v>11.277000000000001</v>
      </c>
      <c r="M79" s="34">
        <f>(Tabela14[[#This Row],[REGIÃO02 - 3%]]*0.06)+Tabela14[[#This Row],[REGIÃO02 - 3%]]</f>
        <v>11.953620000000001</v>
      </c>
      <c r="N79" s="34">
        <f>(Tabela14[[#This Row],[PRECO 3%]]*0.08)+Tabela14[[#This Row],[PRECO 3%]]</f>
        <v>11.5992</v>
      </c>
      <c r="O79" s="34">
        <f>(Tabela14[[#This Row],[REGIÃO03-3%]]*0.06)+Tabela14[[#This Row],[REGIÃO03-3%]]</f>
        <v>12.295152</v>
      </c>
      <c r="P79" s="34">
        <f>(Tabela14[[#This Row],[PRECO 3%]]*0.06)+Tabela14[[#This Row],[PRECO 3%]]</f>
        <v>11.384399999999999</v>
      </c>
      <c r="Q79" s="34">
        <f>(Tabela14[[#This Row],[REGIÃO04-3%]]*0.06)+Tabela14[[#This Row],[REGIÃO04-3%]]</f>
        <v>12.067463999999999</v>
      </c>
    </row>
    <row r="80" spans="1:17" x14ac:dyDescent="0.25">
      <c r="A80">
        <v>167</v>
      </c>
      <c r="B80" t="s">
        <v>27</v>
      </c>
      <c r="C80" t="s">
        <v>52</v>
      </c>
      <c r="D80" t="s">
        <v>59</v>
      </c>
      <c r="E80" s="1" t="s">
        <v>322</v>
      </c>
      <c r="F80">
        <f>VLOOKUP(Tabela14[[#This Row],[ID_COD]],Tabela2[],6,0)</f>
        <v>90</v>
      </c>
      <c r="G80" t="s">
        <v>121</v>
      </c>
      <c r="H80" s="2">
        <v>6.41</v>
      </c>
      <c r="I80" s="34">
        <f>Tabela14[[#This Row],[PRECO 3%]]+(Tabela14[[#This Row],[PRECO 3%]]*0.06)</f>
        <v>6.7946</v>
      </c>
      <c r="J80" s="34"/>
      <c r="K80" s="34">
        <f>(Tabela14[[#This Row],[REGIÃO01-3%]]*0.06)+Tabela14[[#This Row],[REGIÃO01-3%]]</f>
        <v>0</v>
      </c>
      <c r="L80" s="34">
        <f>(Tabela14[[#This Row],[PRECO 3%]]*0.05)+Tabela14[[#This Row],[PRECO 3%]]</f>
        <v>6.7305000000000001</v>
      </c>
      <c r="M80" s="34">
        <f>(Tabela14[[#This Row],[REGIÃO02 - 3%]]*0.06)+Tabela14[[#This Row],[REGIÃO02 - 3%]]</f>
        <v>7.1343300000000003</v>
      </c>
      <c r="N80" s="34">
        <f>(Tabela14[[#This Row],[PRECO 3%]]*0.08)+Tabela14[[#This Row],[PRECO 3%]]</f>
        <v>6.9228000000000005</v>
      </c>
      <c r="O80" s="34">
        <f>(Tabela14[[#This Row],[REGIÃO03-3%]]*0.06)+Tabela14[[#This Row],[REGIÃO03-3%]]</f>
        <v>7.3381680000000005</v>
      </c>
      <c r="P80" s="34">
        <f>(Tabela14[[#This Row],[PRECO 3%]]*0.06)+Tabela14[[#This Row],[PRECO 3%]]</f>
        <v>6.7946</v>
      </c>
      <c r="Q80" s="34">
        <f>(Tabela14[[#This Row],[REGIÃO04-3%]]*0.06)+Tabela14[[#This Row],[REGIÃO04-3%]]</f>
        <v>7.2022760000000003</v>
      </c>
    </row>
    <row r="81" spans="1:17" x14ac:dyDescent="0.25">
      <c r="A81">
        <v>168</v>
      </c>
      <c r="B81" t="s">
        <v>27</v>
      </c>
      <c r="C81" t="s">
        <v>54</v>
      </c>
      <c r="D81" t="s">
        <v>59</v>
      </c>
      <c r="E81" s="1" t="s">
        <v>322</v>
      </c>
      <c r="F81">
        <f>VLOOKUP(Tabela14[[#This Row],[ID_COD]],Tabela2[],6,0)</f>
        <v>70</v>
      </c>
      <c r="G81" t="s">
        <v>172</v>
      </c>
      <c r="H81" s="2">
        <v>9.3699999999999992</v>
      </c>
      <c r="I81" s="34">
        <f>Tabela14[[#This Row],[PRECO 3%]]+(Tabela14[[#This Row],[PRECO 3%]]*0.06)</f>
        <v>9.9321999999999999</v>
      </c>
      <c r="J81" s="34"/>
      <c r="K81" s="34">
        <f>(Tabela14[[#This Row],[REGIÃO01-3%]]*0.06)+Tabela14[[#This Row],[REGIÃO01-3%]]</f>
        <v>0</v>
      </c>
      <c r="L81" s="34">
        <f>(Tabela14[[#This Row],[PRECO 3%]]*0.05)+Tabela14[[#This Row],[PRECO 3%]]</f>
        <v>9.8384999999999998</v>
      </c>
      <c r="M81" s="34">
        <f>(Tabela14[[#This Row],[REGIÃO02 - 3%]]*0.06)+Tabela14[[#This Row],[REGIÃO02 - 3%]]</f>
        <v>10.42881</v>
      </c>
      <c r="N81" s="34">
        <f>(Tabela14[[#This Row],[PRECO 3%]]*0.08)+Tabela14[[#This Row],[PRECO 3%]]</f>
        <v>10.119599999999998</v>
      </c>
      <c r="O81" s="34">
        <f>(Tabela14[[#This Row],[REGIÃO03-3%]]*0.06)+Tabela14[[#This Row],[REGIÃO03-3%]]</f>
        <v>10.726775999999997</v>
      </c>
      <c r="P81" s="34">
        <f>(Tabela14[[#This Row],[PRECO 3%]]*0.06)+Tabela14[[#This Row],[PRECO 3%]]</f>
        <v>9.9321999999999999</v>
      </c>
      <c r="Q81" s="34">
        <f>(Tabela14[[#This Row],[REGIÃO04-3%]]*0.06)+Tabela14[[#This Row],[REGIÃO04-3%]]</f>
        <v>10.528131999999999</v>
      </c>
    </row>
    <row r="82" spans="1:17" x14ac:dyDescent="0.25">
      <c r="A82">
        <v>169</v>
      </c>
      <c r="B82" t="s">
        <v>27</v>
      </c>
      <c r="C82" t="s">
        <v>55</v>
      </c>
      <c r="D82" t="s">
        <v>59</v>
      </c>
      <c r="E82" s="1" t="s">
        <v>322</v>
      </c>
      <c r="F82">
        <f>VLOOKUP(Tabela14[[#This Row],[ID_COD]],Tabela2[],6,0)</f>
        <v>60</v>
      </c>
      <c r="G82" t="s">
        <v>173</v>
      </c>
      <c r="H82" s="2">
        <v>12.03</v>
      </c>
      <c r="I82" s="34">
        <f>Tabela14[[#This Row],[PRECO 3%]]+(Tabela14[[#This Row],[PRECO 3%]]*0.06)</f>
        <v>12.751799999999999</v>
      </c>
      <c r="J82" s="34"/>
      <c r="K82" s="34">
        <f>(Tabela14[[#This Row],[REGIÃO01-3%]]*0.06)+Tabela14[[#This Row],[REGIÃO01-3%]]</f>
        <v>0</v>
      </c>
      <c r="L82" s="34">
        <f>(Tabela14[[#This Row],[PRECO 3%]]*0.05)+Tabela14[[#This Row],[PRECO 3%]]</f>
        <v>12.631499999999999</v>
      </c>
      <c r="M82" s="34">
        <f>(Tabela14[[#This Row],[REGIÃO02 - 3%]]*0.06)+Tabela14[[#This Row],[REGIÃO02 - 3%]]</f>
        <v>13.389389999999999</v>
      </c>
      <c r="N82" s="34">
        <f>(Tabela14[[#This Row],[PRECO 3%]]*0.08)+Tabela14[[#This Row],[PRECO 3%]]</f>
        <v>12.9924</v>
      </c>
      <c r="O82" s="34">
        <f>(Tabela14[[#This Row],[REGIÃO03-3%]]*0.06)+Tabela14[[#This Row],[REGIÃO03-3%]]</f>
        <v>13.771944</v>
      </c>
      <c r="P82" s="34">
        <f>(Tabela14[[#This Row],[PRECO 3%]]*0.06)+Tabela14[[#This Row],[PRECO 3%]]</f>
        <v>12.751799999999999</v>
      </c>
      <c r="Q82" s="34">
        <f>(Tabela14[[#This Row],[REGIÃO04-3%]]*0.06)+Tabela14[[#This Row],[REGIÃO04-3%]]</f>
        <v>13.516907999999999</v>
      </c>
    </row>
    <row r="83" spans="1:17" x14ac:dyDescent="0.25">
      <c r="A83">
        <v>170</v>
      </c>
      <c r="B83" t="s">
        <v>27</v>
      </c>
      <c r="C83" t="s">
        <v>57</v>
      </c>
      <c r="D83" t="s">
        <v>59</v>
      </c>
      <c r="E83" s="1" t="s">
        <v>322</v>
      </c>
      <c r="F83">
        <f>VLOOKUP(Tabela14[[#This Row],[ID_COD]],Tabela2[],6,0)</f>
        <v>35</v>
      </c>
      <c r="G83" t="s">
        <v>167</v>
      </c>
      <c r="H83" s="2">
        <v>17.34</v>
      </c>
      <c r="I83" s="34">
        <f>Tabela14[[#This Row],[PRECO 3%]]+(Tabela14[[#This Row],[PRECO 3%]]*0.06)</f>
        <v>18.380400000000002</v>
      </c>
      <c r="J83" s="34"/>
      <c r="K83" s="34">
        <f>(Tabela14[[#This Row],[REGIÃO01-3%]]*0.06)+Tabela14[[#This Row],[REGIÃO01-3%]]</f>
        <v>0</v>
      </c>
      <c r="L83" s="34">
        <f>(Tabela14[[#This Row],[PRECO 3%]]*0.05)+Tabela14[[#This Row],[PRECO 3%]]</f>
        <v>18.207000000000001</v>
      </c>
      <c r="M83" s="34">
        <f>(Tabela14[[#This Row],[REGIÃO02 - 3%]]*0.06)+Tabela14[[#This Row],[REGIÃO02 - 3%]]</f>
        <v>19.299420000000001</v>
      </c>
      <c r="N83" s="34">
        <f>(Tabela14[[#This Row],[PRECO 3%]]*0.08)+Tabela14[[#This Row],[PRECO 3%]]</f>
        <v>18.7272</v>
      </c>
      <c r="O83" s="34">
        <f>(Tabela14[[#This Row],[REGIÃO03-3%]]*0.06)+Tabela14[[#This Row],[REGIÃO03-3%]]</f>
        <v>19.850832</v>
      </c>
      <c r="P83" s="34">
        <f>(Tabela14[[#This Row],[PRECO 3%]]*0.06)+Tabela14[[#This Row],[PRECO 3%]]</f>
        <v>18.380400000000002</v>
      </c>
      <c r="Q83" s="34">
        <f>(Tabela14[[#This Row],[REGIÃO04-3%]]*0.06)+Tabela14[[#This Row],[REGIÃO04-3%]]</f>
        <v>19.483224</v>
      </c>
    </row>
    <row r="84" spans="1:17" x14ac:dyDescent="0.25">
      <c r="A84">
        <v>171</v>
      </c>
      <c r="B84" t="s">
        <v>27</v>
      </c>
      <c r="C84" t="s">
        <v>37</v>
      </c>
      <c r="D84" t="s">
        <v>58</v>
      </c>
      <c r="E84" s="1" t="s">
        <v>322</v>
      </c>
      <c r="F84" t="s">
        <v>696</v>
      </c>
      <c r="G84" t="s">
        <v>117</v>
      </c>
      <c r="H84" s="2">
        <v>5.38</v>
      </c>
      <c r="I84" s="34">
        <f>Tabela14[[#This Row],[PRECO 3%]]+(Tabela14[[#This Row],[PRECO 3%]]*0.06)</f>
        <v>5.7027999999999999</v>
      </c>
      <c r="J84" s="34"/>
      <c r="K84" s="34">
        <f>(Tabela14[[#This Row],[REGIÃO01-3%]]*0.06)+Tabela14[[#This Row],[REGIÃO01-3%]]</f>
        <v>0</v>
      </c>
      <c r="L84" s="34">
        <f>(Tabela14[[#This Row],[PRECO 3%]]*0.05)+Tabela14[[#This Row],[PRECO 3%]]</f>
        <v>5.649</v>
      </c>
      <c r="M84" s="34">
        <f>(Tabela14[[#This Row],[REGIÃO02 - 3%]]*0.06)+Tabela14[[#This Row],[REGIÃO02 - 3%]]</f>
        <v>5.98794</v>
      </c>
      <c r="N84" s="34">
        <f>(Tabela14[[#This Row],[PRECO 3%]]*0.08)+Tabela14[[#This Row],[PRECO 3%]]</f>
        <v>5.8103999999999996</v>
      </c>
      <c r="O84" s="34">
        <f>(Tabela14[[#This Row],[REGIÃO03-3%]]*0.06)+Tabela14[[#This Row],[REGIÃO03-3%]]</f>
        <v>6.1590239999999996</v>
      </c>
      <c r="P84" s="34">
        <f>(Tabela14[[#This Row],[PRECO 3%]]*0.06)+Tabela14[[#This Row],[PRECO 3%]]</f>
        <v>5.7027999999999999</v>
      </c>
      <c r="Q84" s="34">
        <f>(Tabela14[[#This Row],[REGIÃO04-3%]]*0.06)+Tabela14[[#This Row],[REGIÃO04-3%]]</f>
        <v>6.0449679999999999</v>
      </c>
    </row>
    <row r="85" spans="1:17" x14ac:dyDescent="0.25">
      <c r="A85">
        <v>172</v>
      </c>
      <c r="B85" t="s">
        <v>27</v>
      </c>
      <c r="C85" t="s">
        <v>39</v>
      </c>
      <c r="D85" t="s">
        <v>58</v>
      </c>
      <c r="E85" s="1" t="s">
        <v>322</v>
      </c>
      <c r="F85" t="s">
        <v>692</v>
      </c>
      <c r="G85" t="s">
        <v>145</v>
      </c>
      <c r="H85" s="2">
        <v>7.94</v>
      </c>
      <c r="I85" s="34">
        <f>Tabela14[[#This Row],[PRECO 3%]]+(Tabela14[[#This Row],[PRECO 3%]]*0.06)</f>
        <v>8.4164000000000012</v>
      </c>
      <c r="J85" s="34"/>
      <c r="K85" s="34">
        <f>(Tabela14[[#This Row],[REGIÃO01-3%]]*0.06)+Tabela14[[#This Row],[REGIÃO01-3%]]</f>
        <v>0</v>
      </c>
      <c r="L85" s="34">
        <f>(Tabela14[[#This Row],[PRECO 3%]]*0.05)+Tabela14[[#This Row],[PRECO 3%]]</f>
        <v>8.3369999999999997</v>
      </c>
      <c r="M85" s="34">
        <f>(Tabela14[[#This Row],[REGIÃO02 - 3%]]*0.06)+Tabela14[[#This Row],[REGIÃO02 - 3%]]</f>
        <v>8.8372200000000003</v>
      </c>
      <c r="N85" s="34">
        <f>(Tabela14[[#This Row],[PRECO 3%]]*0.08)+Tabela14[[#This Row],[PRECO 3%]]</f>
        <v>8.5752000000000006</v>
      </c>
      <c r="O85" s="34">
        <f>(Tabela14[[#This Row],[REGIÃO03-3%]]*0.06)+Tabela14[[#This Row],[REGIÃO03-3%]]</f>
        <v>9.0897120000000005</v>
      </c>
      <c r="P85" s="34">
        <f>(Tabela14[[#This Row],[PRECO 3%]]*0.06)+Tabela14[[#This Row],[PRECO 3%]]</f>
        <v>8.4164000000000012</v>
      </c>
      <c r="Q85" s="34">
        <f>(Tabela14[[#This Row],[REGIÃO04-3%]]*0.06)+Tabela14[[#This Row],[REGIÃO04-3%]]</f>
        <v>8.9213840000000015</v>
      </c>
    </row>
    <row r="86" spans="1:17" x14ac:dyDescent="0.25">
      <c r="A86">
        <v>173</v>
      </c>
      <c r="B86" t="s">
        <v>27</v>
      </c>
      <c r="C86" t="s">
        <v>40</v>
      </c>
      <c r="D86" t="s">
        <v>58</v>
      </c>
      <c r="E86" s="1" t="s">
        <v>322</v>
      </c>
      <c r="F86" t="s">
        <v>693</v>
      </c>
      <c r="G86" t="s">
        <v>155</v>
      </c>
      <c r="H86" s="2">
        <v>10.3</v>
      </c>
      <c r="I86" s="34">
        <f>Tabela14[[#This Row],[PRECO 3%]]+(Tabela14[[#This Row],[PRECO 3%]]*0.06)</f>
        <v>10.918000000000001</v>
      </c>
      <c r="J86" s="34"/>
      <c r="K86" s="34">
        <f>(Tabela14[[#This Row],[REGIÃO01-3%]]*0.06)+Tabela14[[#This Row],[REGIÃO01-3%]]</f>
        <v>0</v>
      </c>
      <c r="L86" s="34">
        <f>(Tabela14[[#This Row],[PRECO 3%]]*0.05)+Tabela14[[#This Row],[PRECO 3%]]</f>
        <v>10.815000000000001</v>
      </c>
      <c r="M86" s="34">
        <f>(Tabela14[[#This Row],[REGIÃO02 - 3%]]*0.06)+Tabela14[[#This Row],[REGIÃO02 - 3%]]</f>
        <v>11.463900000000001</v>
      </c>
      <c r="N86" s="34">
        <f>(Tabela14[[#This Row],[PRECO 3%]]*0.08)+Tabela14[[#This Row],[PRECO 3%]]</f>
        <v>11.124000000000001</v>
      </c>
      <c r="O86" s="34">
        <f>(Tabela14[[#This Row],[REGIÃO03-3%]]*0.06)+Tabela14[[#This Row],[REGIÃO03-3%]]</f>
        <v>11.791440000000001</v>
      </c>
      <c r="P86" s="34">
        <f>(Tabela14[[#This Row],[PRECO 3%]]*0.06)+Tabela14[[#This Row],[PRECO 3%]]</f>
        <v>10.918000000000001</v>
      </c>
      <c r="Q86" s="34">
        <f>(Tabela14[[#This Row],[REGIÃO04-3%]]*0.06)+Tabela14[[#This Row],[REGIÃO04-3%]]</f>
        <v>11.573080000000001</v>
      </c>
    </row>
    <row r="87" spans="1:17" x14ac:dyDescent="0.25">
      <c r="A87">
        <v>174</v>
      </c>
      <c r="B87" t="s">
        <v>27</v>
      </c>
      <c r="C87" t="s">
        <v>42</v>
      </c>
      <c r="D87" t="s">
        <v>58</v>
      </c>
      <c r="E87" s="1" t="s">
        <v>322</v>
      </c>
      <c r="F87" t="s">
        <v>694</v>
      </c>
      <c r="G87" t="s">
        <v>165</v>
      </c>
      <c r="H87" s="2">
        <v>14.74</v>
      </c>
      <c r="I87" s="34">
        <f>Tabela14[[#This Row],[PRECO 3%]]+(Tabela14[[#This Row],[PRECO 3%]]*0.06)</f>
        <v>15.6244</v>
      </c>
      <c r="J87" s="34"/>
      <c r="K87" s="34">
        <f>(Tabela14[[#This Row],[REGIÃO01-3%]]*0.06)+Tabela14[[#This Row],[REGIÃO01-3%]]</f>
        <v>0</v>
      </c>
      <c r="L87" s="34">
        <f>(Tabela14[[#This Row],[PRECO 3%]]*0.05)+Tabela14[[#This Row],[PRECO 3%]]</f>
        <v>15.477</v>
      </c>
      <c r="M87" s="34">
        <f>(Tabela14[[#This Row],[REGIÃO02 - 3%]]*0.06)+Tabela14[[#This Row],[REGIÃO02 - 3%]]</f>
        <v>16.405619999999999</v>
      </c>
      <c r="N87" s="34">
        <f>(Tabela14[[#This Row],[PRECO 3%]]*0.08)+Tabela14[[#This Row],[PRECO 3%]]</f>
        <v>15.9192</v>
      </c>
      <c r="O87" s="34">
        <f>(Tabela14[[#This Row],[REGIÃO03-3%]]*0.06)+Tabela14[[#This Row],[REGIÃO03-3%]]</f>
        <v>16.874352000000002</v>
      </c>
      <c r="P87" s="34">
        <f>(Tabela14[[#This Row],[PRECO 3%]]*0.06)+Tabela14[[#This Row],[PRECO 3%]]</f>
        <v>15.6244</v>
      </c>
      <c r="Q87" s="34">
        <f>(Tabela14[[#This Row],[REGIÃO04-3%]]*0.06)+Tabela14[[#This Row],[REGIÃO04-3%]]</f>
        <v>16.561864</v>
      </c>
    </row>
    <row r="88" spans="1:17" x14ac:dyDescent="0.25">
      <c r="A88">
        <v>261</v>
      </c>
      <c r="B88" t="s">
        <v>23</v>
      </c>
      <c r="C88" t="s">
        <v>24</v>
      </c>
      <c r="D88" t="s">
        <v>4</v>
      </c>
      <c r="E88" s="1" t="s">
        <v>328</v>
      </c>
      <c r="F88">
        <f>VLOOKUP(Tabela14[[#This Row],[ID_COD]],Tabela2[],6,0)</f>
        <v>30</v>
      </c>
      <c r="G88" t="s">
        <v>209</v>
      </c>
      <c r="H88" s="46">
        <v>17.351200000000002</v>
      </c>
      <c r="I88" s="47">
        <f>Tabela14[[#This Row],[PRECO 3%]]+(Tabela14[[#This Row],[PRECO 3%]]*0.06)</f>
        <v>18.392272000000002</v>
      </c>
      <c r="J88" s="49">
        <f>(Tabela14[[#This Row],[PRECO 3%]]*0.1)+Tabela14[[#This Row],[PRECO 3%]]</f>
        <v>19.086320000000001</v>
      </c>
      <c r="K88" s="49">
        <f>(Tabela14[[#This Row],[REGIÃO01-3%]]*0.06)+Tabela14[[#This Row],[REGIÃO01-3%]]</f>
        <v>20.231499200000002</v>
      </c>
      <c r="L88" s="50">
        <f>(Tabela14[[#This Row],[PRECO 3%]]*0.05)+Tabela14[[#This Row],[PRECO 3%]]</f>
        <v>18.218760000000003</v>
      </c>
      <c r="M88" s="50">
        <f>(Tabela14[[#This Row],[REGIÃO02 - 3%]]*0.06)+Tabela14[[#This Row],[REGIÃO02 - 3%]]</f>
        <v>19.311885600000004</v>
      </c>
      <c r="N88" s="51">
        <f>(Tabela14[[#This Row],[PRECO 3%]]*0.08)+Tabela14[[#This Row],[PRECO 3%]]</f>
        <v>18.739296000000003</v>
      </c>
      <c r="O88" s="51">
        <f>(Tabela14[[#This Row],[REGIÃO03-3%]]*0.06)+Tabela14[[#This Row],[REGIÃO03-3%]]</f>
        <v>19.863653760000002</v>
      </c>
      <c r="P88" s="52">
        <f>(Tabela14[[#This Row],[PRECO 3%]]*0.06)+Tabela14[[#This Row],[PRECO 3%]]</f>
        <v>18.392272000000002</v>
      </c>
      <c r="Q88" s="34">
        <f>(Tabela14[[#This Row],[REGIÃO04-3%]]*0.06)+Tabela14[[#This Row],[REGIÃO04-3%]]</f>
        <v>19.495808320000002</v>
      </c>
    </row>
    <row r="89" spans="1:17" x14ac:dyDescent="0.25">
      <c r="A89">
        <v>262</v>
      </c>
      <c r="B89" t="s">
        <v>23</v>
      </c>
      <c r="C89" t="s">
        <v>24</v>
      </c>
      <c r="D89" t="s">
        <v>4</v>
      </c>
      <c r="E89" s="1" t="s">
        <v>329</v>
      </c>
      <c r="F89">
        <f>VLOOKUP(Tabela14[[#This Row],[ID_COD]],Tabela2[],6,0)</f>
        <v>30</v>
      </c>
      <c r="G89" t="s">
        <v>207</v>
      </c>
      <c r="H89" s="46">
        <v>18.105599999999999</v>
      </c>
      <c r="I89" s="47">
        <f>Tabela14[[#This Row],[PRECO 3%]]+(Tabela14[[#This Row],[PRECO 3%]]*0.06)</f>
        <v>19.191935999999998</v>
      </c>
      <c r="J89" s="49">
        <f>(Tabela14[[#This Row],[PRECO 3%]]*0.1)+Tabela14[[#This Row],[PRECO 3%]]</f>
        <v>19.916159999999998</v>
      </c>
      <c r="K89" s="49">
        <f>(Tabela14[[#This Row],[REGIÃO01-3%]]*0.06)+Tabela14[[#This Row],[REGIÃO01-3%]]</f>
        <v>21.111129599999998</v>
      </c>
      <c r="L89" s="50">
        <f>(Tabela14[[#This Row],[PRECO 3%]]*0.05)+Tabela14[[#This Row],[PRECO 3%]]</f>
        <v>19.01088</v>
      </c>
      <c r="M89" s="50">
        <f>(Tabela14[[#This Row],[REGIÃO02 - 3%]]*0.06)+Tabela14[[#This Row],[REGIÃO02 - 3%]]</f>
        <v>20.151532800000002</v>
      </c>
      <c r="N89" s="51">
        <f>(Tabela14[[#This Row],[PRECO 3%]]*0.08)+Tabela14[[#This Row],[PRECO 3%]]</f>
        <v>19.554047999999998</v>
      </c>
      <c r="O89" s="51">
        <f>(Tabela14[[#This Row],[REGIÃO03-3%]]*0.06)+Tabela14[[#This Row],[REGIÃO03-3%]]</f>
        <v>20.727290879999998</v>
      </c>
      <c r="P89" s="52">
        <f>(Tabela14[[#This Row],[PRECO 3%]]*0.06)+Tabela14[[#This Row],[PRECO 3%]]</f>
        <v>19.191935999999998</v>
      </c>
      <c r="Q89" s="34">
        <f>(Tabela14[[#This Row],[REGIÃO04-3%]]*0.06)+Tabela14[[#This Row],[REGIÃO04-3%]]</f>
        <v>20.343452159999998</v>
      </c>
    </row>
    <row r="90" spans="1:17" x14ac:dyDescent="0.25">
      <c r="A90">
        <v>263</v>
      </c>
      <c r="B90" t="s">
        <v>23</v>
      </c>
      <c r="C90" t="s">
        <v>24</v>
      </c>
      <c r="D90" t="s">
        <v>4</v>
      </c>
      <c r="E90" s="1" t="s">
        <v>330</v>
      </c>
      <c r="F90">
        <f>VLOOKUP(Tabela14[[#This Row],[ID_COD]],Tabela2[],6,0)</f>
        <v>30</v>
      </c>
      <c r="G90" t="s">
        <v>207</v>
      </c>
      <c r="H90" s="46">
        <v>18.86</v>
      </c>
      <c r="I90" s="47">
        <f>Tabela14[[#This Row],[PRECO 3%]]+(Tabela14[[#This Row],[PRECO 3%]]*0.06)</f>
        <v>19.991599999999998</v>
      </c>
      <c r="J90" s="49">
        <f>(Tabela14[[#This Row],[PRECO 3%]]*0.1)+Tabela14[[#This Row],[PRECO 3%]]</f>
        <v>20.745999999999999</v>
      </c>
      <c r="K90" s="49">
        <f>(Tabela14[[#This Row],[REGIÃO01-3%]]*0.06)+Tabela14[[#This Row],[REGIÃO01-3%]]</f>
        <v>21.990759999999998</v>
      </c>
      <c r="L90" s="50">
        <f>(Tabela14[[#This Row],[PRECO 3%]]*0.05)+Tabela14[[#This Row],[PRECO 3%]]</f>
        <v>19.803000000000001</v>
      </c>
      <c r="M90" s="50">
        <f>(Tabela14[[#This Row],[REGIÃO02 - 3%]]*0.06)+Tabela14[[#This Row],[REGIÃO02 - 3%]]</f>
        <v>20.99118</v>
      </c>
      <c r="N90" s="51">
        <f>(Tabela14[[#This Row],[PRECO 3%]]*0.08)+Tabela14[[#This Row],[PRECO 3%]]</f>
        <v>20.3688</v>
      </c>
      <c r="O90" s="51">
        <f>(Tabela14[[#This Row],[REGIÃO03-3%]]*0.06)+Tabela14[[#This Row],[REGIÃO03-3%]]</f>
        <v>21.590928000000002</v>
      </c>
      <c r="P90" s="52">
        <f>(Tabela14[[#This Row],[PRECO 3%]]*0.06)+Tabela14[[#This Row],[PRECO 3%]]</f>
        <v>19.991599999999998</v>
      </c>
      <c r="Q90" s="34">
        <f>(Tabela14[[#This Row],[REGIÃO04-3%]]*0.06)+Tabela14[[#This Row],[REGIÃO04-3%]]</f>
        <v>21.191095999999998</v>
      </c>
    </row>
    <row r="91" spans="1:17" x14ac:dyDescent="0.25">
      <c r="A91">
        <v>264</v>
      </c>
      <c r="B91" t="s">
        <v>23</v>
      </c>
      <c r="C91" t="s">
        <v>24</v>
      </c>
      <c r="D91" t="s">
        <v>4</v>
      </c>
      <c r="E91" s="1" t="s">
        <v>262</v>
      </c>
      <c r="F91">
        <f>VLOOKUP(Tabela14[[#This Row],[ID_COD]],Tabela2[],6,0)</f>
        <v>20</v>
      </c>
      <c r="G91" t="s">
        <v>216</v>
      </c>
      <c r="H91" s="46">
        <v>19.614399999999996</v>
      </c>
      <c r="I91" s="47">
        <f>Tabela14[[#This Row],[PRECO 3%]]+(Tabela14[[#This Row],[PRECO 3%]]*0.06)</f>
        <v>20.791263999999995</v>
      </c>
      <c r="J91" s="49">
        <f>(Tabela14[[#This Row],[PRECO 3%]]*0.1)+Tabela14[[#This Row],[PRECO 3%]]</f>
        <v>21.575839999999996</v>
      </c>
      <c r="K91" s="49">
        <f>(Tabela14[[#This Row],[REGIÃO01-3%]]*0.06)+Tabela14[[#This Row],[REGIÃO01-3%]]</f>
        <v>22.870390399999994</v>
      </c>
      <c r="L91" s="50">
        <f>(Tabela14[[#This Row],[PRECO 3%]]*0.05)+Tabela14[[#This Row],[PRECO 3%]]</f>
        <v>20.595119999999994</v>
      </c>
      <c r="M91" s="50">
        <f>(Tabela14[[#This Row],[REGIÃO02 - 3%]]*0.06)+Tabela14[[#This Row],[REGIÃO02 - 3%]]</f>
        <v>21.830827199999995</v>
      </c>
      <c r="N91" s="51">
        <f>(Tabela14[[#This Row],[PRECO 3%]]*0.08)+Tabela14[[#This Row],[PRECO 3%]]</f>
        <v>21.183551999999995</v>
      </c>
      <c r="O91" s="51">
        <f>(Tabela14[[#This Row],[REGIÃO03-3%]]*0.06)+Tabela14[[#This Row],[REGIÃO03-3%]]</f>
        <v>22.454565119999994</v>
      </c>
      <c r="P91" s="52">
        <f>(Tabela14[[#This Row],[PRECO 3%]]*0.06)+Tabela14[[#This Row],[PRECO 3%]]</f>
        <v>20.791263999999995</v>
      </c>
      <c r="Q91" s="34">
        <f>(Tabela14[[#This Row],[REGIÃO04-3%]]*0.06)+Tabela14[[#This Row],[REGIÃO04-3%]]</f>
        <v>22.038739839999995</v>
      </c>
    </row>
    <row r="92" spans="1:17" x14ac:dyDescent="0.25">
      <c r="A92">
        <v>265</v>
      </c>
      <c r="B92" t="s">
        <v>23</v>
      </c>
      <c r="C92" t="s">
        <v>24</v>
      </c>
      <c r="D92" t="s">
        <v>4</v>
      </c>
      <c r="E92" s="1" t="s">
        <v>222</v>
      </c>
      <c r="F92">
        <f>VLOOKUP(Tabela14[[#This Row],[ID_COD]],Tabela2[],6,0)</f>
        <v>30</v>
      </c>
      <c r="G92" t="s">
        <v>218</v>
      </c>
      <c r="H92" s="46">
        <v>20.3688</v>
      </c>
      <c r="I92" s="47">
        <f>Tabela14[[#This Row],[PRECO 3%]]+(Tabela14[[#This Row],[PRECO 3%]]*0.06)</f>
        <v>21.590928000000002</v>
      </c>
      <c r="J92" s="49">
        <f>(Tabela14[[#This Row],[PRECO 3%]]*0.1)+Tabela14[[#This Row],[PRECO 3%]]</f>
        <v>22.40568</v>
      </c>
      <c r="K92" s="49">
        <f>(Tabela14[[#This Row],[REGIÃO01-3%]]*0.06)+Tabela14[[#This Row],[REGIÃO01-3%]]</f>
        <v>23.750020800000001</v>
      </c>
      <c r="L92" s="50">
        <f>(Tabela14[[#This Row],[PRECO 3%]]*0.05)+Tabela14[[#This Row],[PRECO 3%]]</f>
        <v>21.387239999999998</v>
      </c>
      <c r="M92" s="50">
        <f>(Tabela14[[#This Row],[REGIÃO02 - 3%]]*0.06)+Tabela14[[#This Row],[REGIÃO02 - 3%]]</f>
        <v>22.6704744</v>
      </c>
      <c r="N92" s="51">
        <f>(Tabela14[[#This Row],[PRECO 3%]]*0.08)+Tabela14[[#This Row],[PRECO 3%]]</f>
        <v>21.998304000000001</v>
      </c>
      <c r="O92" s="51">
        <f>(Tabela14[[#This Row],[REGIÃO03-3%]]*0.06)+Tabela14[[#This Row],[REGIÃO03-3%]]</f>
        <v>23.318202240000002</v>
      </c>
      <c r="P92" s="52">
        <f>(Tabela14[[#This Row],[PRECO 3%]]*0.06)+Tabela14[[#This Row],[PRECO 3%]]</f>
        <v>21.590928000000002</v>
      </c>
      <c r="Q92" s="34">
        <f>(Tabela14[[#This Row],[REGIÃO04-3%]]*0.06)+Tabela14[[#This Row],[REGIÃO04-3%]]</f>
        <v>22.886383680000002</v>
      </c>
    </row>
    <row r="93" spans="1:17" x14ac:dyDescent="0.25">
      <c r="A93">
        <v>266</v>
      </c>
      <c r="B93" t="s">
        <v>23</v>
      </c>
      <c r="C93" t="s">
        <v>24</v>
      </c>
      <c r="D93" t="s">
        <v>4</v>
      </c>
      <c r="E93" s="1" t="s">
        <v>243</v>
      </c>
      <c r="F93">
        <f>VLOOKUP(Tabela14[[#This Row],[ID_COD]],Tabela2[],6,0)</f>
        <v>30</v>
      </c>
      <c r="G93" t="s">
        <v>207</v>
      </c>
      <c r="H93" s="46">
        <v>21.123200000000001</v>
      </c>
      <c r="I93" s="47">
        <f>Tabela14[[#This Row],[PRECO 3%]]+(Tabela14[[#This Row],[PRECO 3%]]*0.06)</f>
        <v>22.390592000000002</v>
      </c>
      <c r="J93" s="49">
        <f>(Tabela14[[#This Row],[PRECO 3%]]*0.1)+Tabela14[[#This Row],[PRECO 3%]]</f>
        <v>23.235520000000001</v>
      </c>
      <c r="K93" s="49">
        <f>(Tabela14[[#This Row],[REGIÃO01-3%]]*0.06)+Tabela14[[#This Row],[REGIÃO01-3%]]</f>
        <v>24.629651200000001</v>
      </c>
      <c r="L93" s="50">
        <f>(Tabela14[[#This Row],[PRECO 3%]]*0.05)+Tabela14[[#This Row],[PRECO 3%]]</f>
        <v>22.179359999999999</v>
      </c>
      <c r="M93" s="50">
        <f>(Tabela14[[#This Row],[REGIÃO02 - 3%]]*0.06)+Tabela14[[#This Row],[REGIÃO02 - 3%]]</f>
        <v>23.510121599999998</v>
      </c>
      <c r="N93" s="51">
        <f>(Tabela14[[#This Row],[PRECO 3%]]*0.08)+Tabela14[[#This Row],[PRECO 3%]]</f>
        <v>22.813056</v>
      </c>
      <c r="O93" s="51">
        <f>(Tabela14[[#This Row],[REGIÃO03-3%]]*0.06)+Tabela14[[#This Row],[REGIÃO03-3%]]</f>
        <v>24.181839359999998</v>
      </c>
      <c r="P93" s="52">
        <f>(Tabela14[[#This Row],[PRECO 3%]]*0.06)+Tabela14[[#This Row],[PRECO 3%]]</f>
        <v>22.390592000000002</v>
      </c>
      <c r="Q93" s="34">
        <f>(Tabela14[[#This Row],[REGIÃO04-3%]]*0.06)+Tabela14[[#This Row],[REGIÃO04-3%]]</f>
        <v>23.734027520000001</v>
      </c>
    </row>
    <row r="94" spans="1:17" x14ac:dyDescent="0.25">
      <c r="A94">
        <v>267</v>
      </c>
      <c r="B94" t="s">
        <v>23</v>
      </c>
      <c r="C94" t="s">
        <v>24</v>
      </c>
      <c r="D94" t="s">
        <v>4</v>
      </c>
      <c r="E94" s="1" t="s">
        <v>180</v>
      </c>
      <c r="F94">
        <f>VLOOKUP(Tabela14[[#This Row],[ID_COD]],Tabela2[],6,0)</f>
        <v>25</v>
      </c>
      <c r="G94" t="s">
        <v>219</v>
      </c>
      <c r="H94" s="46">
        <v>21.877599999999997</v>
      </c>
      <c r="I94" s="47">
        <f>Tabela14[[#This Row],[PRECO 3%]]+(Tabela14[[#This Row],[PRECO 3%]]*0.06)</f>
        <v>23.190255999999998</v>
      </c>
      <c r="J94" s="49">
        <f>(Tabela14[[#This Row],[PRECO 3%]]*0.1)+Tabela14[[#This Row],[PRECO 3%]]</f>
        <v>24.065359999999998</v>
      </c>
      <c r="K94" s="49">
        <f>(Tabela14[[#This Row],[REGIÃO01-3%]]*0.06)+Tabela14[[#This Row],[REGIÃO01-3%]]</f>
        <v>25.509281599999998</v>
      </c>
      <c r="L94" s="50">
        <f>(Tabela14[[#This Row],[PRECO 3%]]*0.05)+Tabela14[[#This Row],[PRECO 3%]]</f>
        <v>22.971479999999996</v>
      </c>
      <c r="M94" s="50">
        <f>(Tabela14[[#This Row],[REGIÃO02 - 3%]]*0.06)+Tabela14[[#This Row],[REGIÃO02 - 3%]]</f>
        <v>24.349768799999996</v>
      </c>
      <c r="N94" s="51">
        <f>(Tabela14[[#This Row],[PRECO 3%]]*0.08)+Tabela14[[#This Row],[PRECO 3%]]</f>
        <v>23.627807999999998</v>
      </c>
      <c r="O94" s="51">
        <f>(Tabela14[[#This Row],[REGIÃO03-3%]]*0.06)+Tabela14[[#This Row],[REGIÃO03-3%]]</f>
        <v>25.045476479999998</v>
      </c>
      <c r="P94" s="52">
        <f>(Tabela14[[#This Row],[PRECO 3%]]*0.06)+Tabela14[[#This Row],[PRECO 3%]]</f>
        <v>23.190255999999998</v>
      </c>
      <c r="Q94" s="34">
        <f>(Tabela14[[#This Row],[REGIÃO04-3%]]*0.06)+Tabela14[[#This Row],[REGIÃO04-3%]]</f>
        <v>24.581671359999998</v>
      </c>
    </row>
    <row r="95" spans="1:17" x14ac:dyDescent="0.25">
      <c r="A95">
        <v>268</v>
      </c>
      <c r="B95" t="s">
        <v>23</v>
      </c>
      <c r="C95" t="s">
        <v>24</v>
      </c>
      <c r="D95" t="s">
        <v>4</v>
      </c>
      <c r="E95" s="1" t="s">
        <v>233</v>
      </c>
      <c r="F95">
        <f>VLOOKUP(Tabela14[[#This Row],[ID_COD]],Tabela2[],6,0)</f>
        <v>25</v>
      </c>
      <c r="G95" t="s">
        <v>220</v>
      </c>
      <c r="H95" s="46">
        <v>22.632000000000001</v>
      </c>
      <c r="I95" s="47">
        <f>Tabela14[[#This Row],[PRECO 3%]]+(Tabela14[[#This Row],[PRECO 3%]]*0.06)</f>
        <v>23.989920000000001</v>
      </c>
      <c r="J95" s="49">
        <f>(Tabela14[[#This Row],[PRECO 3%]]*0.1)+Tabela14[[#This Row],[PRECO 3%]]</f>
        <v>24.895200000000003</v>
      </c>
      <c r="K95" s="49">
        <f>(Tabela14[[#This Row],[REGIÃO01-3%]]*0.06)+Tabela14[[#This Row],[REGIÃO01-3%]]</f>
        <v>26.388912000000001</v>
      </c>
      <c r="L95" s="50">
        <f>(Tabela14[[#This Row],[PRECO 3%]]*0.05)+Tabela14[[#This Row],[PRECO 3%]]</f>
        <v>23.7636</v>
      </c>
      <c r="M95" s="50">
        <f>(Tabela14[[#This Row],[REGIÃO02 - 3%]]*0.06)+Tabela14[[#This Row],[REGIÃO02 - 3%]]</f>
        <v>25.189416000000001</v>
      </c>
      <c r="N95" s="51">
        <f>(Tabela14[[#This Row],[PRECO 3%]]*0.08)+Tabela14[[#This Row],[PRECO 3%]]</f>
        <v>24.44256</v>
      </c>
      <c r="O95" s="51">
        <f>(Tabela14[[#This Row],[REGIÃO03-3%]]*0.06)+Tabela14[[#This Row],[REGIÃO03-3%]]</f>
        <v>25.909113600000001</v>
      </c>
      <c r="P95" s="52">
        <f>(Tabela14[[#This Row],[PRECO 3%]]*0.06)+Tabela14[[#This Row],[PRECO 3%]]</f>
        <v>23.989920000000001</v>
      </c>
      <c r="Q95" s="34">
        <f>(Tabela14[[#This Row],[REGIÃO04-3%]]*0.06)+Tabela14[[#This Row],[REGIÃO04-3%]]</f>
        <v>25.429315200000001</v>
      </c>
    </row>
    <row r="96" spans="1:17" x14ac:dyDescent="0.25">
      <c r="A96">
        <v>269</v>
      </c>
      <c r="B96" t="s">
        <v>23</v>
      </c>
      <c r="C96" t="s">
        <v>24</v>
      </c>
      <c r="D96" t="s">
        <v>4</v>
      </c>
      <c r="E96" s="1" t="s">
        <v>281</v>
      </c>
      <c r="F96">
        <f>VLOOKUP(Tabela14[[#This Row],[ID_COD]],Tabela2[],6,0)</f>
        <v>0</v>
      </c>
      <c r="G96" t="s">
        <v>221</v>
      </c>
      <c r="H96" s="46">
        <v>23.386399999999998</v>
      </c>
      <c r="I96" s="47">
        <f>Tabela14[[#This Row],[PRECO 3%]]+(Tabela14[[#This Row],[PRECO 3%]]*0.06)</f>
        <v>24.789583999999998</v>
      </c>
      <c r="J96" s="49">
        <f>(Tabela14[[#This Row],[PRECO 3%]]*0.1)+Tabela14[[#This Row],[PRECO 3%]]</f>
        <v>25.72504</v>
      </c>
      <c r="K96" s="49">
        <f>(Tabela14[[#This Row],[REGIÃO01-3%]]*0.06)+Tabela14[[#This Row],[REGIÃO01-3%]]</f>
        <v>27.268542400000001</v>
      </c>
      <c r="L96" s="50">
        <f>(Tabela14[[#This Row],[PRECO 3%]]*0.05)+Tabela14[[#This Row],[PRECO 3%]]</f>
        <v>24.555719999999997</v>
      </c>
      <c r="M96" s="50">
        <f>(Tabela14[[#This Row],[REGIÃO02 - 3%]]*0.06)+Tabela14[[#This Row],[REGIÃO02 - 3%]]</f>
        <v>26.029063199999996</v>
      </c>
      <c r="N96" s="51">
        <f>(Tabela14[[#This Row],[PRECO 3%]]*0.08)+Tabela14[[#This Row],[PRECO 3%]]</f>
        <v>25.257311999999999</v>
      </c>
      <c r="O96" s="51">
        <f>(Tabela14[[#This Row],[REGIÃO03-3%]]*0.06)+Tabela14[[#This Row],[REGIÃO03-3%]]</f>
        <v>26.772750719999998</v>
      </c>
      <c r="P96" s="52">
        <f>(Tabela14[[#This Row],[PRECO 3%]]*0.06)+Tabela14[[#This Row],[PRECO 3%]]</f>
        <v>24.789583999999998</v>
      </c>
      <c r="Q96" s="34">
        <f>(Tabela14[[#This Row],[REGIÃO04-3%]]*0.06)+Tabela14[[#This Row],[REGIÃO04-3%]]</f>
        <v>26.276959039999998</v>
      </c>
    </row>
    <row r="97" spans="1:17" x14ac:dyDescent="0.25">
      <c r="A97">
        <v>270</v>
      </c>
      <c r="B97" t="s">
        <v>23</v>
      </c>
      <c r="C97" t="s">
        <v>24</v>
      </c>
      <c r="D97" t="s">
        <v>4</v>
      </c>
      <c r="E97" s="1" t="s">
        <v>282</v>
      </c>
      <c r="F97">
        <f>VLOOKUP(Tabela14[[#This Row],[ID_COD]],Tabela2[],6,0)</f>
        <v>0</v>
      </c>
      <c r="G97" t="s">
        <v>223</v>
      </c>
      <c r="H97" s="46">
        <v>23.7636</v>
      </c>
      <c r="I97" s="47">
        <f>Tabela14[[#This Row],[PRECO 3%]]+(Tabela14[[#This Row],[PRECO 3%]]*0.06)</f>
        <v>25.189416000000001</v>
      </c>
      <c r="J97" s="49">
        <f>(Tabela14[[#This Row],[PRECO 3%]]*0.1)+Tabela14[[#This Row],[PRECO 3%]]</f>
        <v>26.139960000000002</v>
      </c>
      <c r="K97" s="49">
        <f>(Tabela14[[#This Row],[REGIÃO01-3%]]*0.06)+Tabela14[[#This Row],[REGIÃO01-3%]]</f>
        <v>27.708357600000003</v>
      </c>
      <c r="L97" s="50">
        <f>(Tabela14[[#This Row],[PRECO 3%]]*0.05)+Tabela14[[#This Row],[PRECO 3%]]</f>
        <v>24.951779999999999</v>
      </c>
      <c r="M97" s="50">
        <f>(Tabela14[[#This Row],[REGIÃO02 - 3%]]*0.06)+Tabela14[[#This Row],[REGIÃO02 - 3%]]</f>
        <v>26.4488868</v>
      </c>
      <c r="N97" s="51">
        <f>(Tabela14[[#This Row],[PRECO 3%]]*0.08)+Tabela14[[#This Row],[PRECO 3%]]</f>
        <v>25.664688000000002</v>
      </c>
      <c r="O97" s="51">
        <f>(Tabela14[[#This Row],[REGIÃO03-3%]]*0.06)+Tabela14[[#This Row],[REGIÃO03-3%]]</f>
        <v>27.204569280000001</v>
      </c>
      <c r="P97" s="52">
        <f>(Tabela14[[#This Row],[PRECO 3%]]*0.06)+Tabela14[[#This Row],[PRECO 3%]]</f>
        <v>25.189416000000001</v>
      </c>
      <c r="Q97" s="34">
        <f>(Tabela14[[#This Row],[REGIÃO04-3%]]*0.06)+Tabela14[[#This Row],[REGIÃO04-3%]]</f>
        <v>26.700780960000003</v>
      </c>
    </row>
    <row r="98" spans="1:17" x14ac:dyDescent="0.25">
      <c r="A98">
        <v>271</v>
      </c>
      <c r="B98" t="s">
        <v>23</v>
      </c>
      <c r="C98" t="s">
        <v>24</v>
      </c>
      <c r="D98" t="s">
        <v>4</v>
      </c>
      <c r="E98" s="1" t="s">
        <v>299</v>
      </c>
      <c r="F98">
        <f>VLOOKUP(Tabela14[[#This Row],[ID_COD]],Tabela2[],6,0)</f>
        <v>0</v>
      </c>
      <c r="G98" t="s">
        <v>225</v>
      </c>
      <c r="H98" s="46">
        <v>24.140799999999999</v>
      </c>
      <c r="I98" s="47">
        <f>Tabela14[[#This Row],[PRECO 3%]]+(Tabela14[[#This Row],[PRECO 3%]]*0.06)</f>
        <v>25.589247999999998</v>
      </c>
      <c r="J98" s="49">
        <f>(Tabela14[[#This Row],[PRECO 3%]]*0.1)+Tabela14[[#This Row],[PRECO 3%]]</f>
        <v>26.554879999999997</v>
      </c>
      <c r="K98" s="49">
        <f>(Tabela14[[#This Row],[REGIÃO01-3%]]*0.06)+Tabela14[[#This Row],[REGIÃO01-3%]]</f>
        <v>28.148172799999998</v>
      </c>
      <c r="L98" s="50">
        <f>(Tabela14[[#This Row],[PRECO 3%]]*0.05)+Tabela14[[#This Row],[PRECO 3%]]</f>
        <v>25.347839999999998</v>
      </c>
      <c r="M98" s="50">
        <f>(Tabela14[[#This Row],[REGIÃO02 - 3%]]*0.06)+Tabela14[[#This Row],[REGIÃO02 - 3%]]</f>
        <v>26.868710399999998</v>
      </c>
      <c r="N98" s="51">
        <f>(Tabela14[[#This Row],[PRECO 3%]]*0.08)+Tabela14[[#This Row],[PRECO 3%]]</f>
        <v>26.072063999999997</v>
      </c>
      <c r="O98" s="51">
        <f>(Tabela14[[#This Row],[REGIÃO03-3%]]*0.06)+Tabela14[[#This Row],[REGIÃO03-3%]]</f>
        <v>27.636387839999998</v>
      </c>
      <c r="P98" s="52">
        <f>(Tabela14[[#This Row],[PRECO 3%]]*0.06)+Tabela14[[#This Row],[PRECO 3%]]</f>
        <v>25.589247999999998</v>
      </c>
      <c r="Q98" s="34">
        <f>(Tabela14[[#This Row],[REGIÃO04-3%]]*0.06)+Tabela14[[#This Row],[REGIÃO04-3%]]</f>
        <v>27.124602879999998</v>
      </c>
    </row>
    <row r="99" spans="1:17" x14ac:dyDescent="0.25">
      <c r="A99">
        <v>272</v>
      </c>
      <c r="B99" t="s">
        <v>23</v>
      </c>
      <c r="C99" t="s">
        <v>24</v>
      </c>
      <c r="D99" t="s">
        <v>4</v>
      </c>
      <c r="E99" s="1" t="s">
        <v>316</v>
      </c>
      <c r="F99">
        <f>VLOOKUP(Tabela14[[#This Row],[ID_COD]],Tabela2[],6,0)</f>
        <v>0</v>
      </c>
      <c r="G99" t="s">
        <v>226</v>
      </c>
      <c r="H99" s="46">
        <v>24.895199999999999</v>
      </c>
      <c r="I99" s="47">
        <f>Tabela14[[#This Row],[PRECO 3%]]+(Tabela14[[#This Row],[PRECO 3%]]*0.06)</f>
        <v>26.388911999999998</v>
      </c>
      <c r="J99" s="49">
        <f>(Tabela14[[#This Row],[PRECO 3%]]*0.1)+Tabela14[[#This Row],[PRECO 3%]]</f>
        <v>27.384719999999998</v>
      </c>
      <c r="K99" s="49">
        <f>(Tabela14[[#This Row],[REGIÃO01-3%]]*0.06)+Tabela14[[#This Row],[REGIÃO01-3%]]</f>
        <v>29.027803199999997</v>
      </c>
      <c r="L99" s="50">
        <f>(Tabela14[[#This Row],[PRECO 3%]]*0.05)+Tabela14[[#This Row],[PRECO 3%]]</f>
        <v>26.139959999999999</v>
      </c>
      <c r="M99" s="50">
        <f>(Tabela14[[#This Row],[REGIÃO02 - 3%]]*0.06)+Tabela14[[#This Row],[REGIÃO02 - 3%]]</f>
        <v>27.708357599999999</v>
      </c>
      <c r="N99" s="51">
        <f>(Tabela14[[#This Row],[PRECO 3%]]*0.08)+Tabela14[[#This Row],[PRECO 3%]]</f>
        <v>26.886816</v>
      </c>
      <c r="O99" s="51">
        <f>(Tabela14[[#This Row],[REGIÃO03-3%]]*0.06)+Tabela14[[#This Row],[REGIÃO03-3%]]</f>
        <v>28.500024960000001</v>
      </c>
      <c r="P99" s="52">
        <f>(Tabela14[[#This Row],[PRECO 3%]]*0.06)+Tabela14[[#This Row],[PRECO 3%]]</f>
        <v>26.388911999999998</v>
      </c>
      <c r="Q99" s="34">
        <f>(Tabela14[[#This Row],[REGIÃO04-3%]]*0.06)+Tabela14[[#This Row],[REGIÃO04-3%]]</f>
        <v>27.972246719999998</v>
      </c>
    </row>
    <row r="100" spans="1:17" x14ac:dyDescent="0.25">
      <c r="A100">
        <v>273</v>
      </c>
      <c r="B100" t="s">
        <v>25</v>
      </c>
      <c r="C100" t="s">
        <v>26</v>
      </c>
      <c r="D100" t="s">
        <v>4</v>
      </c>
      <c r="E100" s="1" t="s">
        <v>326</v>
      </c>
      <c r="F100">
        <f>VLOOKUP(Tabela14[[#This Row],[ID_COD]],Tabela2[],6,0)</f>
        <v>36</v>
      </c>
      <c r="G100" t="s">
        <v>182</v>
      </c>
      <c r="H100" s="46">
        <v>16.59</v>
      </c>
      <c r="I100" s="47">
        <f>Tabela14[[#This Row],[PRECO 3%]]+(Tabela14[[#This Row],[PRECO 3%]]*0.06)</f>
        <v>17.5854</v>
      </c>
      <c r="J100" s="49">
        <f>(Tabela14[[#This Row],[PRECO 3%]]*0.1)+Tabela14[[#This Row],[PRECO 3%]]</f>
        <v>18.248999999999999</v>
      </c>
      <c r="K100" s="49">
        <f>(Tabela14[[#This Row],[REGIÃO01-3%]]*0.06)+Tabela14[[#This Row],[REGIÃO01-3%]]</f>
        <v>19.34394</v>
      </c>
      <c r="L100" s="50">
        <f>(Tabela14[[#This Row],[PRECO 3%]]*0.05)+Tabela14[[#This Row],[PRECO 3%]]</f>
        <v>17.419499999999999</v>
      </c>
      <c r="M100" s="50">
        <f>(Tabela14[[#This Row],[REGIÃO02 - 3%]]*0.06)+Tabela14[[#This Row],[REGIÃO02 - 3%]]</f>
        <v>18.464669999999998</v>
      </c>
      <c r="N100" s="51">
        <f>(Tabela14[[#This Row],[PRECO 3%]]*0.08)+Tabela14[[#This Row],[PRECO 3%]]</f>
        <v>17.917200000000001</v>
      </c>
      <c r="O100" s="51">
        <f>(Tabela14[[#This Row],[REGIÃO03-3%]]*0.06)+Tabela14[[#This Row],[REGIÃO03-3%]]</f>
        <v>18.992232000000001</v>
      </c>
      <c r="P100" s="52">
        <f>(Tabela14[[#This Row],[PRECO 3%]]*0.06)+Tabela14[[#This Row],[PRECO 3%]]</f>
        <v>17.5854</v>
      </c>
      <c r="Q100" s="34">
        <f>(Tabela14[[#This Row],[REGIÃO04-3%]]*0.06)+Tabela14[[#This Row],[REGIÃO04-3%]]</f>
        <v>18.640523999999999</v>
      </c>
    </row>
    <row r="101" spans="1:17" x14ac:dyDescent="0.25">
      <c r="A101">
        <v>274</v>
      </c>
      <c r="B101" t="s">
        <v>25</v>
      </c>
      <c r="C101" t="s">
        <v>26</v>
      </c>
      <c r="D101" t="s">
        <v>4</v>
      </c>
      <c r="E101" s="1" t="s">
        <v>327</v>
      </c>
      <c r="F101">
        <f>VLOOKUP(Tabela14[[#This Row],[ID_COD]],Tabela2[],6,0)</f>
        <v>36</v>
      </c>
      <c r="G101" t="s">
        <v>228</v>
      </c>
      <c r="H101" s="46">
        <v>17.38</v>
      </c>
      <c r="I101" s="47">
        <f>Tabela14[[#This Row],[PRECO 3%]]+(Tabela14[[#This Row],[PRECO 3%]]*0.06)</f>
        <v>18.422799999999999</v>
      </c>
      <c r="J101" s="49">
        <f>(Tabela14[[#This Row],[PRECO 3%]]*0.1)+Tabela14[[#This Row],[PRECO 3%]]</f>
        <v>19.117999999999999</v>
      </c>
      <c r="K101" s="49">
        <f>(Tabela14[[#This Row],[REGIÃO01-3%]]*0.06)+Tabela14[[#This Row],[REGIÃO01-3%]]</f>
        <v>20.265079999999998</v>
      </c>
      <c r="L101" s="50">
        <f>(Tabela14[[#This Row],[PRECO 3%]]*0.05)+Tabela14[[#This Row],[PRECO 3%]]</f>
        <v>18.248999999999999</v>
      </c>
      <c r="M101" s="50">
        <f>(Tabela14[[#This Row],[REGIÃO02 - 3%]]*0.06)+Tabela14[[#This Row],[REGIÃO02 - 3%]]</f>
        <v>19.34394</v>
      </c>
      <c r="N101" s="51">
        <f>(Tabela14[[#This Row],[PRECO 3%]]*0.08)+Tabela14[[#This Row],[PRECO 3%]]</f>
        <v>18.770399999999999</v>
      </c>
      <c r="O101" s="51">
        <f>(Tabela14[[#This Row],[REGIÃO03-3%]]*0.06)+Tabela14[[#This Row],[REGIÃO03-3%]]</f>
        <v>19.896623999999999</v>
      </c>
      <c r="P101" s="52">
        <f>(Tabela14[[#This Row],[PRECO 3%]]*0.06)+Tabela14[[#This Row],[PRECO 3%]]</f>
        <v>18.422799999999999</v>
      </c>
      <c r="Q101" s="34">
        <f>(Tabela14[[#This Row],[REGIÃO04-3%]]*0.06)+Tabela14[[#This Row],[REGIÃO04-3%]]</f>
        <v>19.528167999999997</v>
      </c>
    </row>
    <row r="102" spans="1:17" x14ac:dyDescent="0.25">
      <c r="A102">
        <v>275</v>
      </c>
      <c r="B102" t="s">
        <v>25</v>
      </c>
      <c r="C102" t="s">
        <v>26</v>
      </c>
      <c r="D102" t="s">
        <v>4</v>
      </c>
      <c r="E102" s="1" t="s">
        <v>328</v>
      </c>
      <c r="F102">
        <f>VLOOKUP(Tabela14[[#This Row],[ID_COD]],Tabela2[],6,0)</f>
        <v>30</v>
      </c>
      <c r="G102" t="s">
        <v>228</v>
      </c>
      <c r="H102" s="46">
        <v>18.170000000000002</v>
      </c>
      <c r="I102" s="47">
        <f>Tabela14[[#This Row],[PRECO 3%]]+(Tabela14[[#This Row],[PRECO 3%]]*0.06)</f>
        <v>19.260200000000001</v>
      </c>
      <c r="J102" s="49">
        <f>(Tabela14[[#This Row],[PRECO 3%]]*0.1)+Tabela14[[#This Row],[PRECO 3%]]</f>
        <v>19.987000000000002</v>
      </c>
      <c r="K102" s="49">
        <f>(Tabela14[[#This Row],[REGIÃO01-3%]]*0.06)+Tabela14[[#This Row],[REGIÃO01-3%]]</f>
        <v>21.186220000000002</v>
      </c>
      <c r="L102" s="50">
        <f>(Tabela14[[#This Row],[PRECO 3%]]*0.05)+Tabela14[[#This Row],[PRECO 3%]]</f>
        <v>19.078500000000002</v>
      </c>
      <c r="M102" s="50">
        <f>(Tabela14[[#This Row],[REGIÃO02 - 3%]]*0.06)+Tabela14[[#This Row],[REGIÃO02 - 3%]]</f>
        <v>20.223210000000002</v>
      </c>
      <c r="N102" s="51">
        <f>(Tabela14[[#This Row],[PRECO 3%]]*0.08)+Tabela14[[#This Row],[PRECO 3%]]</f>
        <v>19.623600000000003</v>
      </c>
      <c r="O102" s="51">
        <f>(Tabela14[[#This Row],[REGIÃO03-3%]]*0.06)+Tabela14[[#This Row],[REGIÃO03-3%]]</f>
        <v>20.801016000000004</v>
      </c>
      <c r="P102" s="52">
        <f>(Tabela14[[#This Row],[PRECO 3%]]*0.06)+Tabela14[[#This Row],[PRECO 3%]]</f>
        <v>19.260200000000001</v>
      </c>
      <c r="Q102" s="34">
        <f>(Tabela14[[#This Row],[REGIÃO04-3%]]*0.06)+Tabela14[[#This Row],[REGIÃO04-3%]]</f>
        <v>20.415812000000003</v>
      </c>
    </row>
    <row r="103" spans="1:17" x14ac:dyDescent="0.25">
      <c r="A103">
        <v>276</v>
      </c>
      <c r="B103" t="s">
        <v>25</v>
      </c>
      <c r="C103" t="s">
        <v>26</v>
      </c>
      <c r="D103" t="s">
        <v>4</v>
      </c>
      <c r="E103" s="1" t="s">
        <v>329</v>
      </c>
      <c r="F103">
        <f>VLOOKUP(Tabela14[[#This Row],[ID_COD]],Tabela2[],6,0)</f>
        <v>30</v>
      </c>
      <c r="G103" t="s">
        <v>227</v>
      </c>
      <c r="H103" s="46">
        <v>18.959999999999997</v>
      </c>
      <c r="I103" s="47">
        <f>Tabela14[[#This Row],[PRECO 3%]]+(Tabela14[[#This Row],[PRECO 3%]]*0.06)</f>
        <v>20.097599999999996</v>
      </c>
      <c r="J103" s="49">
        <f>(Tabela14[[#This Row],[PRECO 3%]]*0.1)+Tabela14[[#This Row],[PRECO 3%]]</f>
        <v>20.855999999999998</v>
      </c>
      <c r="K103" s="49">
        <f>(Tabela14[[#This Row],[REGIÃO01-3%]]*0.06)+Tabela14[[#This Row],[REGIÃO01-3%]]</f>
        <v>22.107359999999996</v>
      </c>
      <c r="L103" s="50">
        <f>(Tabela14[[#This Row],[PRECO 3%]]*0.05)+Tabela14[[#This Row],[PRECO 3%]]</f>
        <v>19.907999999999998</v>
      </c>
      <c r="M103" s="50">
        <f>(Tabela14[[#This Row],[REGIÃO02 - 3%]]*0.06)+Tabela14[[#This Row],[REGIÃO02 - 3%]]</f>
        <v>21.102479999999996</v>
      </c>
      <c r="N103" s="51">
        <f>(Tabela14[[#This Row],[PRECO 3%]]*0.08)+Tabela14[[#This Row],[PRECO 3%]]</f>
        <v>20.476799999999997</v>
      </c>
      <c r="O103" s="51">
        <f>(Tabela14[[#This Row],[REGIÃO03-3%]]*0.06)+Tabela14[[#This Row],[REGIÃO03-3%]]</f>
        <v>21.705407999999998</v>
      </c>
      <c r="P103" s="52">
        <f>(Tabela14[[#This Row],[PRECO 3%]]*0.06)+Tabela14[[#This Row],[PRECO 3%]]</f>
        <v>20.097599999999996</v>
      </c>
      <c r="Q103" s="34">
        <f>(Tabela14[[#This Row],[REGIÃO04-3%]]*0.06)+Tabela14[[#This Row],[REGIÃO04-3%]]</f>
        <v>21.303455999999997</v>
      </c>
    </row>
    <row r="104" spans="1:17" x14ac:dyDescent="0.25">
      <c r="A104">
        <v>277</v>
      </c>
      <c r="B104" t="s">
        <v>25</v>
      </c>
      <c r="C104" t="s">
        <v>26</v>
      </c>
      <c r="D104" t="s">
        <v>4</v>
      </c>
      <c r="E104" s="1" t="s">
        <v>330</v>
      </c>
      <c r="F104">
        <f>VLOOKUP(Tabela14[[#This Row],[ID_COD]],Tabela2[],6,0)</f>
        <v>30</v>
      </c>
      <c r="G104" t="s">
        <v>236</v>
      </c>
      <c r="H104" s="46">
        <v>19.75</v>
      </c>
      <c r="I104" s="47">
        <f>Tabela14[[#This Row],[PRECO 3%]]+(Tabela14[[#This Row],[PRECO 3%]]*0.06)</f>
        <v>20.934999999999999</v>
      </c>
      <c r="J104" s="49">
        <f>(Tabela14[[#This Row],[PRECO 3%]]*0.1)+Tabela14[[#This Row],[PRECO 3%]]</f>
        <v>21.725000000000001</v>
      </c>
      <c r="K104" s="49">
        <f>(Tabela14[[#This Row],[REGIÃO01-3%]]*0.06)+Tabela14[[#This Row],[REGIÃO01-3%]]</f>
        <v>23.028500000000001</v>
      </c>
      <c r="L104" s="50">
        <f>(Tabela14[[#This Row],[PRECO 3%]]*0.05)+Tabela14[[#This Row],[PRECO 3%]]</f>
        <v>20.737500000000001</v>
      </c>
      <c r="M104" s="50">
        <f>(Tabela14[[#This Row],[REGIÃO02 - 3%]]*0.06)+Tabela14[[#This Row],[REGIÃO02 - 3%]]</f>
        <v>21.981750000000002</v>
      </c>
      <c r="N104" s="51">
        <f>(Tabela14[[#This Row],[PRECO 3%]]*0.08)+Tabela14[[#This Row],[PRECO 3%]]</f>
        <v>21.33</v>
      </c>
      <c r="O104" s="51">
        <f>(Tabela14[[#This Row],[REGIÃO03-3%]]*0.06)+Tabela14[[#This Row],[REGIÃO03-3%]]</f>
        <v>22.6098</v>
      </c>
      <c r="P104" s="52">
        <f>(Tabela14[[#This Row],[PRECO 3%]]*0.06)+Tabela14[[#This Row],[PRECO 3%]]</f>
        <v>20.934999999999999</v>
      </c>
      <c r="Q104" s="34">
        <f>(Tabela14[[#This Row],[REGIÃO04-3%]]*0.06)+Tabela14[[#This Row],[REGIÃO04-3%]]</f>
        <v>22.191099999999999</v>
      </c>
    </row>
    <row r="105" spans="1:17" x14ac:dyDescent="0.25">
      <c r="A105">
        <v>278</v>
      </c>
      <c r="B105" t="s">
        <v>25</v>
      </c>
      <c r="C105" t="s">
        <v>26</v>
      </c>
      <c r="D105" t="s">
        <v>4</v>
      </c>
      <c r="E105" s="1" t="s">
        <v>262</v>
      </c>
      <c r="F105">
        <f>VLOOKUP(Tabela14[[#This Row],[ID_COD]],Tabela2[],6,0)</f>
        <v>30</v>
      </c>
      <c r="G105" t="s">
        <v>238</v>
      </c>
      <c r="H105" s="46">
        <v>20.54</v>
      </c>
      <c r="I105" s="47">
        <f>Tabela14[[#This Row],[PRECO 3%]]+(Tabela14[[#This Row],[PRECO 3%]]*0.06)</f>
        <v>21.772399999999998</v>
      </c>
      <c r="J105" s="49">
        <f>(Tabela14[[#This Row],[PRECO 3%]]*0.1)+Tabela14[[#This Row],[PRECO 3%]]</f>
        <v>22.593999999999998</v>
      </c>
      <c r="K105" s="49">
        <f>(Tabela14[[#This Row],[REGIÃO01-3%]]*0.06)+Tabela14[[#This Row],[REGIÃO01-3%]]</f>
        <v>23.949639999999999</v>
      </c>
      <c r="L105" s="50">
        <f>(Tabela14[[#This Row],[PRECO 3%]]*0.05)+Tabela14[[#This Row],[PRECO 3%]]</f>
        <v>21.567</v>
      </c>
      <c r="M105" s="50">
        <f>(Tabela14[[#This Row],[REGIÃO02 - 3%]]*0.06)+Tabela14[[#This Row],[REGIÃO02 - 3%]]</f>
        <v>22.86102</v>
      </c>
      <c r="N105" s="51">
        <f>(Tabela14[[#This Row],[PRECO 3%]]*0.08)+Tabela14[[#This Row],[PRECO 3%]]</f>
        <v>22.183199999999999</v>
      </c>
      <c r="O105" s="51">
        <f>(Tabela14[[#This Row],[REGIÃO03-3%]]*0.06)+Tabela14[[#This Row],[REGIÃO03-3%]]</f>
        <v>23.514191999999998</v>
      </c>
      <c r="P105" s="52">
        <f>(Tabela14[[#This Row],[PRECO 3%]]*0.06)+Tabela14[[#This Row],[PRECO 3%]]</f>
        <v>21.772399999999998</v>
      </c>
      <c r="Q105" s="34">
        <f>(Tabela14[[#This Row],[REGIÃO04-3%]]*0.06)+Tabela14[[#This Row],[REGIÃO04-3%]]</f>
        <v>23.078743999999997</v>
      </c>
    </row>
    <row r="106" spans="1:17" x14ac:dyDescent="0.25">
      <c r="A106">
        <v>279</v>
      </c>
      <c r="B106" t="s">
        <v>25</v>
      </c>
      <c r="C106" t="s">
        <v>26</v>
      </c>
      <c r="D106" t="s">
        <v>4</v>
      </c>
      <c r="E106" s="1" t="s">
        <v>222</v>
      </c>
      <c r="F106">
        <f>VLOOKUP(Tabela14[[#This Row],[ID_COD]],Tabela2[],6,0)</f>
        <v>30</v>
      </c>
      <c r="G106" t="s">
        <v>241</v>
      </c>
      <c r="H106" s="46">
        <v>19.88</v>
      </c>
      <c r="I106" s="47">
        <f>Tabela14[[#This Row],[PRECO 3%]]+(Tabela14[[#This Row],[PRECO 3%]]*0.06)</f>
        <v>21.072799999999997</v>
      </c>
      <c r="J106" s="49">
        <f>(Tabela14[[#This Row],[PRECO 3%]]*0.1)+Tabela14[[#This Row],[PRECO 3%]]</f>
        <v>21.867999999999999</v>
      </c>
      <c r="K106" s="49">
        <f>(Tabela14[[#This Row],[REGIÃO01-3%]]*0.06)+Tabela14[[#This Row],[REGIÃO01-3%]]</f>
        <v>23.180079999999997</v>
      </c>
      <c r="L106" s="50">
        <f>(Tabela14[[#This Row],[PRECO 3%]]*0.05)+Tabela14[[#This Row],[PRECO 3%]]</f>
        <v>20.873999999999999</v>
      </c>
      <c r="M106" s="50">
        <f>(Tabela14[[#This Row],[REGIÃO02 - 3%]]*0.06)+Tabela14[[#This Row],[REGIÃO02 - 3%]]</f>
        <v>22.126439999999999</v>
      </c>
      <c r="N106" s="51">
        <f>(Tabela14[[#This Row],[PRECO 3%]]*0.08)+Tabela14[[#This Row],[PRECO 3%]]</f>
        <v>21.470399999999998</v>
      </c>
      <c r="O106" s="51">
        <f>(Tabela14[[#This Row],[REGIÃO03-3%]]*0.06)+Tabela14[[#This Row],[REGIÃO03-3%]]</f>
        <v>22.758623999999998</v>
      </c>
      <c r="P106" s="52">
        <f>(Tabela14[[#This Row],[PRECO 3%]]*0.06)+Tabela14[[#This Row],[PRECO 3%]]</f>
        <v>21.072799999999997</v>
      </c>
      <c r="Q106" s="34">
        <f>(Tabela14[[#This Row],[REGIÃO04-3%]]*0.06)+Tabela14[[#This Row],[REGIÃO04-3%]]</f>
        <v>22.337167999999998</v>
      </c>
    </row>
    <row r="107" spans="1:17" x14ac:dyDescent="0.25">
      <c r="A107">
        <v>280</v>
      </c>
      <c r="B107" t="s">
        <v>25</v>
      </c>
      <c r="C107" t="s">
        <v>26</v>
      </c>
      <c r="D107" t="s">
        <v>4</v>
      </c>
      <c r="E107" s="1" t="s">
        <v>243</v>
      </c>
      <c r="F107">
        <f>VLOOKUP(Tabela14[[#This Row],[ID_COD]],Tabela2[],6,0)</f>
        <v>30</v>
      </c>
      <c r="G107" t="s">
        <v>244</v>
      </c>
      <c r="H107" s="46">
        <v>22.12</v>
      </c>
      <c r="I107" s="47">
        <f>Tabela14[[#This Row],[PRECO 3%]]+(Tabela14[[#This Row],[PRECO 3%]]*0.06)</f>
        <v>23.447200000000002</v>
      </c>
      <c r="J107" s="49">
        <f>(Tabela14[[#This Row],[PRECO 3%]]*0.1)+Tabela14[[#This Row],[PRECO 3%]]</f>
        <v>24.332000000000001</v>
      </c>
      <c r="K107" s="49">
        <f>(Tabela14[[#This Row],[REGIÃO01-3%]]*0.06)+Tabela14[[#This Row],[REGIÃO01-3%]]</f>
        <v>25.791920000000001</v>
      </c>
      <c r="L107" s="50">
        <f>(Tabela14[[#This Row],[PRECO 3%]]*0.05)+Tabela14[[#This Row],[PRECO 3%]]</f>
        <v>23.226000000000003</v>
      </c>
      <c r="M107" s="50">
        <f>(Tabela14[[#This Row],[REGIÃO02 - 3%]]*0.06)+Tabela14[[#This Row],[REGIÃO02 - 3%]]</f>
        <v>24.619560000000003</v>
      </c>
      <c r="N107" s="51">
        <f>(Tabela14[[#This Row],[PRECO 3%]]*0.08)+Tabela14[[#This Row],[PRECO 3%]]</f>
        <v>23.889600000000002</v>
      </c>
      <c r="O107" s="51">
        <f>(Tabela14[[#This Row],[REGIÃO03-3%]]*0.06)+Tabela14[[#This Row],[REGIÃO03-3%]]</f>
        <v>25.322976000000001</v>
      </c>
      <c r="P107" s="52">
        <f>(Tabela14[[#This Row],[PRECO 3%]]*0.06)+Tabela14[[#This Row],[PRECO 3%]]</f>
        <v>23.447200000000002</v>
      </c>
      <c r="Q107" s="34">
        <f>(Tabela14[[#This Row],[REGIÃO04-3%]]*0.06)+Tabela14[[#This Row],[REGIÃO04-3%]]</f>
        <v>24.854032000000004</v>
      </c>
    </row>
    <row r="108" spans="1:17" x14ac:dyDescent="0.25">
      <c r="A108">
        <v>281</v>
      </c>
      <c r="B108" t="s">
        <v>25</v>
      </c>
      <c r="C108" t="s">
        <v>26</v>
      </c>
      <c r="D108" t="s">
        <v>4</v>
      </c>
      <c r="E108" s="1" t="s">
        <v>180</v>
      </c>
      <c r="F108">
        <f>VLOOKUP(Tabela14[[#This Row],[ID_COD]],Tabela2[],6,0)</f>
        <v>25</v>
      </c>
      <c r="G108" t="s">
        <v>228</v>
      </c>
      <c r="H108" s="46">
        <v>22.91</v>
      </c>
      <c r="I108" s="47">
        <f>Tabela14[[#This Row],[PRECO 3%]]+(Tabela14[[#This Row],[PRECO 3%]]*0.06)</f>
        <v>24.284600000000001</v>
      </c>
      <c r="J108" s="49">
        <f>(Tabela14[[#This Row],[PRECO 3%]]*0.1)+Tabela14[[#This Row],[PRECO 3%]]</f>
        <v>25.201000000000001</v>
      </c>
      <c r="K108" s="49">
        <f>(Tabela14[[#This Row],[REGIÃO01-3%]]*0.06)+Tabela14[[#This Row],[REGIÃO01-3%]]</f>
        <v>26.713059999999999</v>
      </c>
      <c r="L108" s="50">
        <f>(Tabela14[[#This Row],[PRECO 3%]]*0.05)+Tabela14[[#This Row],[PRECO 3%]]</f>
        <v>24.055499999999999</v>
      </c>
      <c r="M108" s="50">
        <f>(Tabela14[[#This Row],[REGIÃO02 - 3%]]*0.06)+Tabela14[[#This Row],[REGIÃO02 - 3%]]</f>
        <v>25.498829999999998</v>
      </c>
      <c r="N108" s="51">
        <f>(Tabela14[[#This Row],[PRECO 3%]]*0.08)+Tabela14[[#This Row],[PRECO 3%]]</f>
        <v>24.742799999999999</v>
      </c>
      <c r="O108" s="51">
        <f>(Tabela14[[#This Row],[REGIÃO03-3%]]*0.06)+Tabela14[[#This Row],[REGIÃO03-3%]]</f>
        <v>26.227367999999998</v>
      </c>
      <c r="P108" s="52">
        <f>(Tabela14[[#This Row],[PRECO 3%]]*0.06)+Tabela14[[#This Row],[PRECO 3%]]</f>
        <v>24.284600000000001</v>
      </c>
      <c r="Q108" s="34">
        <f>(Tabela14[[#This Row],[REGIÃO04-3%]]*0.06)+Tabela14[[#This Row],[REGIÃO04-3%]]</f>
        <v>25.741676000000002</v>
      </c>
    </row>
    <row r="109" spans="1:17" x14ac:dyDescent="0.25">
      <c r="A109">
        <v>282</v>
      </c>
      <c r="B109" t="s">
        <v>25</v>
      </c>
      <c r="C109" t="s">
        <v>26</v>
      </c>
      <c r="D109" t="s">
        <v>4</v>
      </c>
      <c r="E109" s="1" t="s">
        <v>233</v>
      </c>
      <c r="F109">
        <v>25</v>
      </c>
      <c r="G109" t="s">
        <v>246</v>
      </c>
      <c r="H109" s="46">
        <v>23.7</v>
      </c>
      <c r="I109" s="47">
        <f>Tabela14[[#This Row],[PRECO 3%]]+(Tabela14[[#This Row],[PRECO 3%]]*0.06)</f>
        <v>25.122</v>
      </c>
      <c r="J109" s="49">
        <f>(Tabela14[[#This Row],[PRECO 3%]]*0.1)+Tabela14[[#This Row],[PRECO 3%]]</f>
        <v>26.07</v>
      </c>
      <c r="K109" s="49">
        <f>(Tabela14[[#This Row],[REGIÃO01-3%]]*0.06)+Tabela14[[#This Row],[REGIÃO01-3%]]</f>
        <v>27.6342</v>
      </c>
      <c r="L109" s="50">
        <f>(Tabela14[[#This Row],[PRECO 3%]]*0.05)+Tabela14[[#This Row],[PRECO 3%]]</f>
        <v>24.884999999999998</v>
      </c>
      <c r="M109" s="50">
        <f>(Tabela14[[#This Row],[REGIÃO02 - 3%]]*0.06)+Tabela14[[#This Row],[REGIÃO02 - 3%]]</f>
        <v>26.378099999999996</v>
      </c>
      <c r="N109" s="51">
        <f>(Tabela14[[#This Row],[PRECO 3%]]*0.08)+Tabela14[[#This Row],[PRECO 3%]]</f>
        <v>25.596</v>
      </c>
      <c r="O109" s="51">
        <f>(Tabela14[[#This Row],[REGIÃO03-3%]]*0.06)+Tabela14[[#This Row],[REGIÃO03-3%]]</f>
        <v>27.13176</v>
      </c>
      <c r="P109" s="52">
        <f>(Tabela14[[#This Row],[PRECO 3%]]*0.06)+Tabela14[[#This Row],[PRECO 3%]]</f>
        <v>25.122</v>
      </c>
      <c r="Q109" s="34">
        <f>(Tabela14[[#This Row],[REGIÃO04-3%]]*0.06)+Tabela14[[#This Row],[REGIÃO04-3%]]</f>
        <v>26.62932</v>
      </c>
    </row>
    <row r="110" spans="1:17" x14ac:dyDescent="0.25">
      <c r="A110">
        <v>283</v>
      </c>
      <c r="B110" t="s">
        <v>25</v>
      </c>
      <c r="C110" t="s">
        <v>26</v>
      </c>
      <c r="D110" t="s">
        <v>4</v>
      </c>
      <c r="E110" s="1" t="s">
        <v>281</v>
      </c>
      <c r="F110">
        <f>VLOOKUP(Tabela14[[#This Row],[ID_COD]],Tabela2[],6,0)</f>
        <v>0</v>
      </c>
      <c r="G110" t="s">
        <v>247</v>
      </c>
      <c r="H110" s="46">
        <v>24.490000000000002</v>
      </c>
      <c r="I110" s="47">
        <f>Tabela14[[#This Row],[PRECO 3%]]+(Tabela14[[#This Row],[PRECO 3%]]*0.06)</f>
        <v>25.959400000000002</v>
      </c>
      <c r="J110" s="49">
        <f>(Tabela14[[#This Row],[PRECO 3%]]*0.1)+Tabela14[[#This Row],[PRECO 3%]]</f>
        <v>26.939000000000004</v>
      </c>
      <c r="K110" s="49">
        <f>(Tabela14[[#This Row],[REGIÃO01-3%]]*0.06)+Tabela14[[#This Row],[REGIÃO01-3%]]</f>
        <v>28.555340000000005</v>
      </c>
      <c r="L110" s="50">
        <f>(Tabela14[[#This Row],[PRECO 3%]]*0.05)+Tabela14[[#This Row],[PRECO 3%]]</f>
        <v>25.714500000000001</v>
      </c>
      <c r="M110" s="50">
        <f>(Tabela14[[#This Row],[REGIÃO02 - 3%]]*0.06)+Tabela14[[#This Row],[REGIÃO02 - 3%]]</f>
        <v>27.257370000000002</v>
      </c>
      <c r="N110" s="51">
        <f>(Tabela14[[#This Row],[PRECO 3%]]*0.08)+Tabela14[[#This Row],[PRECO 3%]]</f>
        <v>26.449200000000001</v>
      </c>
      <c r="O110" s="51">
        <f>(Tabela14[[#This Row],[REGIÃO03-3%]]*0.06)+Tabela14[[#This Row],[REGIÃO03-3%]]</f>
        <v>28.036152000000001</v>
      </c>
      <c r="P110" s="52">
        <f>(Tabela14[[#This Row],[PRECO 3%]]*0.06)+Tabela14[[#This Row],[PRECO 3%]]</f>
        <v>25.959400000000002</v>
      </c>
      <c r="Q110" s="34">
        <f>(Tabela14[[#This Row],[REGIÃO04-3%]]*0.06)+Tabela14[[#This Row],[REGIÃO04-3%]]</f>
        <v>27.516964000000002</v>
      </c>
    </row>
    <row r="111" spans="1:17" x14ac:dyDescent="0.25">
      <c r="A111">
        <v>284</v>
      </c>
      <c r="B111" t="s">
        <v>25</v>
      </c>
      <c r="C111" t="s">
        <v>26</v>
      </c>
      <c r="D111" t="s">
        <v>4</v>
      </c>
      <c r="E111" s="1" t="s">
        <v>299</v>
      </c>
      <c r="F111">
        <f>VLOOKUP(Tabela14[[#This Row],[ID_COD]],Tabela2[],6,0)</f>
        <v>25</v>
      </c>
      <c r="G111" t="s">
        <v>248</v>
      </c>
      <c r="H111" s="46">
        <v>25.28</v>
      </c>
      <c r="I111" s="47">
        <f>Tabela14[[#This Row],[PRECO 3%]]+(Tabela14[[#This Row],[PRECO 3%]]*0.06)</f>
        <v>26.796800000000001</v>
      </c>
      <c r="J111" s="49">
        <f>(Tabela14[[#This Row],[PRECO 3%]]*0.1)+Tabela14[[#This Row],[PRECO 3%]]</f>
        <v>27.808</v>
      </c>
      <c r="K111" s="49">
        <f>(Tabela14[[#This Row],[REGIÃO01-3%]]*0.06)+Tabela14[[#This Row],[REGIÃO01-3%]]</f>
        <v>29.476479999999999</v>
      </c>
      <c r="L111" s="50">
        <f>(Tabela14[[#This Row],[PRECO 3%]]*0.05)+Tabela14[[#This Row],[PRECO 3%]]</f>
        <v>26.544</v>
      </c>
      <c r="M111" s="50">
        <f>(Tabela14[[#This Row],[REGIÃO02 - 3%]]*0.06)+Tabela14[[#This Row],[REGIÃO02 - 3%]]</f>
        <v>28.13664</v>
      </c>
      <c r="N111" s="51">
        <f>(Tabela14[[#This Row],[PRECO 3%]]*0.08)+Tabela14[[#This Row],[PRECO 3%]]</f>
        <v>27.302400000000002</v>
      </c>
      <c r="O111" s="51">
        <f>(Tabela14[[#This Row],[REGIÃO03-3%]]*0.06)+Tabela14[[#This Row],[REGIÃO03-3%]]</f>
        <v>28.940544000000003</v>
      </c>
      <c r="P111" s="52">
        <f>(Tabela14[[#This Row],[PRECO 3%]]*0.06)+Tabela14[[#This Row],[PRECO 3%]]</f>
        <v>26.796800000000001</v>
      </c>
      <c r="Q111" s="34">
        <f>(Tabela14[[#This Row],[REGIÃO04-3%]]*0.06)+Tabela14[[#This Row],[REGIÃO04-3%]]</f>
        <v>28.404608</v>
      </c>
    </row>
    <row r="112" spans="1:17" x14ac:dyDescent="0.25">
      <c r="A112">
        <v>285</v>
      </c>
      <c r="B112" t="s">
        <v>25</v>
      </c>
      <c r="C112" t="s">
        <v>26</v>
      </c>
      <c r="D112" t="s">
        <v>4</v>
      </c>
      <c r="E112" s="1" t="s">
        <v>316</v>
      </c>
      <c r="F112">
        <f>VLOOKUP(Tabela14[[#This Row],[ID_COD]],Tabela2[],6,0)</f>
        <v>0</v>
      </c>
      <c r="G112" t="s">
        <v>249</v>
      </c>
      <c r="H112" s="46">
        <v>26.069999999999997</v>
      </c>
      <c r="I112" s="47">
        <f>Tabela14[[#This Row],[PRECO 3%]]+(Tabela14[[#This Row],[PRECO 3%]]*0.06)</f>
        <v>27.634199999999996</v>
      </c>
      <c r="J112" s="49">
        <f>(Tabela14[[#This Row],[PRECO 3%]]*0.1)+Tabela14[[#This Row],[PRECO 3%]]</f>
        <v>28.676999999999996</v>
      </c>
      <c r="K112" s="49">
        <f>(Tabela14[[#This Row],[REGIÃO01-3%]]*0.06)+Tabela14[[#This Row],[REGIÃO01-3%]]</f>
        <v>30.397619999999996</v>
      </c>
      <c r="L112" s="50">
        <f>(Tabela14[[#This Row],[PRECO 3%]]*0.05)+Tabela14[[#This Row],[PRECO 3%]]</f>
        <v>27.373499999999996</v>
      </c>
      <c r="M112" s="50">
        <f>(Tabela14[[#This Row],[REGIÃO02 - 3%]]*0.06)+Tabela14[[#This Row],[REGIÃO02 - 3%]]</f>
        <v>29.015909999999995</v>
      </c>
      <c r="N112" s="51">
        <f>(Tabela14[[#This Row],[PRECO 3%]]*0.08)+Tabela14[[#This Row],[PRECO 3%]]</f>
        <v>28.155599999999996</v>
      </c>
      <c r="O112" s="51">
        <f>(Tabela14[[#This Row],[REGIÃO03-3%]]*0.06)+Tabela14[[#This Row],[REGIÃO03-3%]]</f>
        <v>29.844935999999997</v>
      </c>
      <c r="P112" s="52">
        <f>(Tabela14[[#This Row],[PRECO 3%]]*0.06)+Tabela14[[#This Row],[PRECO 3%]]</f>
        <v>27.634199999999996</v>
      </c>
      <c r="Q112" s="34">
        <f>(Tabela14[[#This Row],[REGIÃO04-3%]]*0.06)+Tabela14[[#This Row],[REGIÃO04-3%]]</f>
        <v>29.292251999999998</v>
      </c>
    </row>
    <row r="113" spans="1:17" x14ac:dyDescent="0.25">
      <c r="A113" s="4">
        <v>286</v>
      </c>
      <c r="B113" s="4" t="s">
        <v>25</v>
      </c>
      <c r="C113" s="4" t="s">
        <v>26</v>
      </c>
      <c r="D113" s="4" t="s">
        <v>4</v>
      </c>
      <c r="E113" s="5" t="s">
        <v>285</v>
      </c>
      <c r="F113">
        <f>VLOOKUP(Tabela14[[#This Row],[ID_COD]],Tabela2[],6,0)</f>
        <v>20</v>
      </c>
      <c r="G113" s="4" t="s">
        <v>250</v>
      </c>
      <c r="H113" s="46">
        <v>26.86</v>
      </c>
      <c r="I113" s="47">
        <f>Tabela14[[#This Row],[PRECO 3%]]+(Tabela14[[#This Row],[PRECO 3%]]*0.06)</f>
        <v>28.471599999999999</v>
      </c>
      <c r="J113" s="49">
        <f>(Tabela14[[#This Row],[PRECO 3%]]*0.1)+Tabela14[[#This Row],[PRECO 3%]]</f>
        <v>29.545999999999999</v>
      </c>
      <c r="K113" s="49">
        <f>(Tabela14[[#This Row],[REGIÃO01-3%]]*0.06)+Tabela14[[#This Row],[REGIÃO01-3%]]</f>
        <v>31.318759999999997</v>
      </c>
      <c r="L113" s="50">
        <f>(Tabela14[[#This Row],[PRECO 3%]]*0.05)+Tabela14[[#This Row],[PRECO 3%]]</f>
        <v>28.202999999999999</v>
      </c>
      <c r="M113" s="50">
        <f>(Tabela14[[#This Row],[REGIÃO02 - 3%]]*0.06)+Tabela14[[#This Row],[REGIÃO02 - 3%]]</f>
        <v>29.89518</v>
      </c>
      <c r="N113" s="51">
        <f>(Tabela14[[#This Row],[PRECO 3%]]*0.08)+Tabela14[[#This Row],[PRECO 3%]]</f>
        <v>29.008800000000001</v>
      </c>
      <c r="O113" s="51">
        <f>(Tabela14[[#This Row],[REGIÃO03-3%]]*0.06)+Tabela14[[#This Row],[REGIÃO03-3%]]</f>
        <v>30.749328000000002</v>
      </c>
      <c r="P113" s="52">
        <f>(Tabela14[[#This Row],[PRECO 3%]]*0.06)+Tabela14[[#This Row],[PRECO 3%]]</f>
        <v>28.471599999999999</v>
      </c>
      <c r="Q113" s="34">
        <f>(Tabela14[[#This Row],[REGIÃO04-3%]]*0.06)+Tabela14[[#This Row],[REGIÃO04-3%]]</f>
        <v>30.179895999999999</v>
      </c>
    </row>
    <row r="114" spans="1:17" x14ac:dyDescent="0.25">
      <c r="A114">
        <v>287</v>
      </c>
      <c r="B114" t="s">
        <v>25</v>
      </c>
      <c r="C114" t="s">
        <v>26</v>
      </c>
      <c r="D114" t="s">
        <v>4</v>
      </c>
      <c r="E114" s="1" t="s">
        <v>302</v>
      </c>
      <c r="F114">
        <f>VLOOKUP(Tabela14[[#This Row],[ID_COD]],Tabela2[],6,0)</f>
        <v>0</v>
      </c>
      <c r="G114" t="s">
        <v>228</v>
      </c>
      <c r="H114" s="46">
        <v>27.65</v>
      </c>
      <c r="I114" s="47">
        <f>Tabela14[[#This Row],[PRECO 3%]]+(Tabela14[[#This Row],[PRECO 3%]]*0.06)</f>
        <v>29.308999999999997</v>
      </c>
      <c r="J114" s="49">
        <f>(Tabela14[[#This Row],[PRECO 3%]]*0.1)+Tabela14[[#This Row],[PRECO 3%]]</f>
        <v>30.414999999999999</v>
      </c>
      <c r="K114" s="49">
        <f>(Tabela14[[#This Row],[REGIÃO01-3%]]*0.06)+Tabela14[[#This Row],[REGIÃO01-3%]]</f>
        <v>32.239899999999999</v>
      </c>
      <c r="L114" s="50">
        <f>(Tabela14[[#This Row],[PRECO 3%]]*0.05)+Tabela14[[#This Row],[PRECO 3%]]</f>
        <v>29.032499999999999</v>
      </c>
      <c r="M114" s="50">
        <f>(Tabela14[[#This Row],[REGIÃO02 - 3%]]*0.06)+Tabela14[[#This Row],[REGIÃO02 - 3%]]</f>
        <v>30.774449999999998</v>
      </c>
      <c r="N114" s="51">
        <f>(Tabela14[[#This Row],[PRECO 3%]]*0.08)+Tabela14[[#This Row],[PRECO 3%]]</f>
        <v>29.861999999999998</v>
      </c>
      <c r="O114" s="51">
        <f>(Tabela14[[#This Row],[REGIÃO03-3%]]*0.06)+Tabela14[[#This Row],[REGIÃO03-3%]]</f>
        <v>31.65372</v>
      </c>
      <c r="P114" s="52">
        <f>(Tabela14[[#This Row],[PRECO 3%]]*0.06)+Tabela14[[#This Row],[PRECO 3%]]</f>
        <v>29.308999999999997</v>
      </c>
      <c r="Q114" s="34">
        <f>(Tabela14[[#This Row],[REGIÃO04-3%]]*0.06)+Tabela14[[#This Row],[REGIÃO04-3%]]</f>
        <v>31.067539999999997</v>
      </c>
    </row>
    <row r="115" spans="1:17" x14ac:dyDescent="0.25">
      <c r="A115">
        <v>288</v>
      </c>
      <c r="B115" t="s">
        <v>25</v>
      </c>
      <c r="C115" t="s">
        <v>26</v>
      </c>
      <c r="D115" t="s">
        <v>4</v>
      </c>
      <c r="E115" s="1" t="s">
        <v>331</v>
      </c>
      <c r="F115">
        <f>VLOOKUP(Tabela14[[#This Row],[ID_COD]],Tabela2[],6,0)</f>
        <v>0</v>
      </c>
      <c r="G115" t="s">
        <v>251</v>
      </c>
      <c r="H115" s="46">
        <v>28.44</v>
      </c>
      <c r="I115" s="47">
        <f>Tabela14[[#This Row],[PRECO 3%]]+(Tabela14[[#This Row],[PRECO 3%]]*0.06)</f>
        <v>30.1464</v>
      </c>
      <c r="J115" s="49">
        <f>(Tabela14[[#This Row],[PRECO 3%]]*0.1)+Tabela14[[#This Row],[PRECO 3%]]</f>
        <v>31.284000000000002</v>
      </c>
      <c r="K115" s="49">
        <f>(Tabela14[[#This Row],[REGIÃO01-3%]]*0.06)+Tabela14[[#This Row],[REGIÃO01-3%]]</f>
        <v>33.16104</v>
      </c>
      <c r="L115" s="50">
        <f>(Tabela14[[#This Row],[PRECO 3%]]*0.05)+Tabela14[[#This Row],[PRECO 3%]]</f>
        <v>29.862000000000002</v>
      </c>
      <c r="M115" s="50">
        <f>(Tabela14[[#This Row],[REGIÃO02 - 3%]]*0.06)+Tabela14[[#This Row],[REGIÃO02 - 3%]]</f>
        <v>31.653720000000003</v>
      </c>
      <c r="N115" s="51">
        <f>(Tabela14[[#This Row],[PRECO 3%]]*0.08)+Tabela14[[#This Row],[PRECO 3%]]</f>
        <v>30.715200000000003</v>
      </c>
      <c r="O115" s="51">
        <f>(Tabela14[[#This Row],[REGIÃO03-3%]]*0.06)+Tabela14[[#This Row],[REGIÃO03-3%]]</f>
        <v>32.558112000000001</v>
      </c>
      <c r="P115" s="52">
        <f>(Tabela14[[#This Row],[PRECO 3%]]*0.06)+Tabela14[[#This Row],[PRECO 3%]]</f>
        <v>30.1464</v>
      </c>
      <c r="Q115" s="34">
        <f>(Tabela14[[#This Row],[REGIÃO04-3%]]*0.06)+Tabela14[[#This Row],[REGIÃO04-3%]]</f>
        <v>31.955183999999999</v>
      </c>
    </row>
    <row r="116" spans="1:17" x14ac:dyDescent="0.25">
      <c r="A116">
        <v>289</v>
      </c>
      <c r="B116" t="s">
        <v>25</v>
      </c>
      <c r="C116" t="s">
        <v>26</v>
      </c>
      <c r="D116" t="s">
        <v>4</v>
      </c>
      <c r="E116" s="1" t="s">
        <v>332</v>
      </c>
      <c r="F116">
        <f>VLOOKUP(Tabela14[[#This Row],[ID_COD]],Tabela2[],6,0)</f>
        <v>0</v>
      </c>
      <c r="G116" t="s">
        <v>252</v>
      </c>
      <c r="H116" s="46">
        <v>29.229999999999997</v>
      </c>
      <c r="I116" s="47">
        <f>Tabela14[[#This Row],[PRECO 3%]]+(Tabela14[[#This Row],[PRECO 3%]]*0.06)</f>
        <v>30.983799999999995</v>
      </c>
      <c r="J116" s="49">
        <f>(Tabela14[[#This Row],[PRECO 3%]]*0.1)+Tabela14[[#This Row],[PRECO 3%]]</f>
        <v>32.152999999999999</v>
      </c>
      <c r="K116" s="49">
        <f>(Tabela14[[#This Row],[REGIÃO01-3%]]*0.06)+Tabela14[[#This Row],[REGIÃO01-3%]]</f>
        <v>34.082180000000001</v>
      </c>
      <c r="L116" s="50">
        <f>(Tabela14[[#This Row],[PRECO 3%]]*0.05)+Tabela14[[#This Row],[PRECO 3%]]</f>
        <v>30.691499999999998</v>
      </c>
      <c r="M116" s="50">
        <f>(Tabela14[[#This Row],[REGIÃO02 - 3%]]*0.06)+Tabela14[[#This Row],[REGIÃO02 - 3%]]</f>
        <v>32.532989999999998</v>
      </c>
      <c r="N116" s="51">
        <f>(Tabela14[[#This Row],[PRECO 3%]]*0.08)+Tabela14[[#This Row],[PRECO 3%]]</f>
        <v>31.568399999999997</v>
      </c>
      <c r="O116" s="51">
        <f>(Tabela14[[#This Row],[REGIÃO03-3%]]*0.06)+Tabela14[[#This Row],[REGIÃO03-3%]]</f>
        <v>33.462503999999996</v>
      </c>
      <c r="P116" s="52">
        <f>(Tabela14[[#This Row],[PRECO 3%]]*0.06)+Tabela14[[#This Row],[PRECO 3%]]</f>
        <v>30.983799999999995</v>
      </c>
      <c r="Q116" s="34">
        <f>(Tabela14[[#This Row],[REGIÃO04-3%]]*0.06)+Tabela14[[#This Row],[REGIÃO04-3%]]</f>
        <v>32.842827999999997</v>
      </c>
    </row>
    <row r="117" spans="1:17" x14ac:dyDescent="0.25">
      <c r="A117">
        <v>290</v>
      </c>
      <c r="B117" t="s">
        <v>23</v>
      </c>
      <c r="C117" t="s">
        <v>24</v>
      </c>
      <c r="D117" t="s">
        <v>8</v>
      </c>
      <c r="E117" s="1" t="s">
        <v>285</v>
      </c>
      <c r="F117">
        <v>25</v>
      </c>
      <c r="G117" t="s">
        <v>181</v>
      </c>
      <c r="H117" s="46">
        <v>27.361052631578943</v>
      </c>
      <c r="I117" s="47">
        <f>Tabela14[[#This Row],[PRECO 3%]]+(Tabela14[[#This Row],[PRECO 3%]]*0.06)</f>
        <v>29.00271578947368</v>
      </c>
      <c r="J117" s="49">
        <f>(Tabela14[[#This Row],[PRECO 3%]]*0.1)+Tabela14[[#This Row],[PRECO 3%]]</f>
        <v>30.097157894736839</v>
      </c>
      <c r="K117" s="49">
        <f>(Tabela14[[#This Row],[REGIÃO01-3%]]*0.06)+Tabela14[[#This Row],[REGIÃO01-3%]]</f>
        <v>31.902987368421048</v>
      </c>
      <c r="L117" s="50">
        <f>(Tabela14[[#This Row],[PRECO 3%]]*0.05)+Tabela14[[#This Row],[PRECO 3%]]</f>
        <v>28.729105263157891</v>
      </c>
      <c r="M117" s="50">
        <f>(Tabela14[[#This Row],[REGIÃO02 - 3%]]*0.06)+Tabela14[[#This Row],[REGIÃO02 - 3%]]</f>
        <v>30.452851578947364</v>
      </c>
      <c r="N117" s="51">
        <f>(Tabela14[[#This Row],[PRECO 3%]]*0.08)+Tabela14[[#This Row],[PRECO 3%]]</f>
        <v>29.549936842105257</v>
      </c>
      <c r="O117" s="51">
        <f>(Tabela14[[#This Row],[REGIÃO03-3%]]*0.06)+Tabela14[[#This Row],[REGIÃO03-3%]]</f>
        <v>31.322933052631573</v>
      </c>
      <c r="P117" s="52">
        <f>(Tabela14[[#This Row],[PRECO 3%]]*0.06)+Tabela14[[#This Row],[PRECO 3%]]</f>
        <v>29.00271578947368</v>
      </c>
      <c r="Q117" s="34">
        <f>(Tabela14[[#This Row],[REGIÃO04-3%]]*0.06)+Tabela14[[#This Row],[REGIÃO04-3%]]</f>
        <v>30.742878736842101</v>
      </c>
    </row>
    <row r="118" spans="1:17" x14ac:dyDescent="0.25">
      <c r="A118">
        <v>291</v>
      </c>
      <c r="B118" t="s">
        <v>23</v>
      </c>
      <c r="C118" t="s">
        <v>24</v>
      </c>
      <c r="D118" t="s">
        <v>8</v>
      </c>
      <c r="E118" s="1" t="s">
        <v>302</v>
      </c>
      <c r="F118">
        <f>VLOOKUP(Tabela14[[#This Row],[ID_COD]],Tabela2[],6,0)</f>
        <v>0</v>
      </c>
      <c r="G118" t="s">
        <v>212</v>
      </c>
      <c r="H118" s="46">
        <v>28.16578947368421</v>
      </c>
      <c r="I118" s="47">
        <f>Tabela14[[#This Row],[PRECO 3%]]+(Tabela14[[#This Row],[PRECO 3%]]*0.06)</f>
        <v>29.855736842105262</v>
      </c>
      <c r="J118" s="49">
        <f>(Tabela14[[#This Row],[PRECO 3%]]*0.1)+Tabela14[[#This Row],[PRECO 3%]]</f>
        <v>30.98236842105263</v>
      </c>
      <c r="K118" s="49">
        <f>(Tabela14[[#This Row],[REGIÃO01-3%]]*0.06)+Tabela14[[#This Row],[REGIÃO01-3%]]</f>
        <v>32.841310526315787</v>
      </c>
      <c r="L118" s="50">
        <f>(Tabela14[[#This Row],[PRECO 3%]]*0.05)+Tabela14[[#This Row],[PRECO 3%]]</f>
        <v>29.57407894736842</v>
      </c>
      <c r="M118" s="50">
        <f>(Tabela14[[#This Row],[REGIÃO02 - 3%]]*0.06)+Tabela14[[#This Row],[REGIÃO02 - 3%]]</f>
        <v>31.348523684210527</v>
      </c>
      <c r="N118" s="51">
        <f>(Tabela14[[#This Row],[PRECO 3%]]*0.08)+Tabela14[[#This Row],[PRECO 3%]]</f>
        <v>30.419052631578946</v>
      </c>
      <c r="O118" s="51">
        <f>(Tabela14[[#This Row],[REGIÃO03-3%]]*0.06)+Tabela14[[#This Row],[REGIÃO03-3%]]</f>
        <v>32.244195789473686</v>
      </c>
      <c r="P118" s="52">
        <f>(Tabela14[[#This Row],[PRECO 3%]]*0.06)+Tabela14[[#This Row],[PRECO 3%]]</f>
        <v>29.855736842105262</v>
      </c>
      <c r="Q118" s="34">
        <f>(Tabela14[[#This Row],[REGIÃO04-3%]]*0.06)+Tabela14[[#This Row],[REGIÃO04-3%]]</f>
        <v>31.647081052631577</v>
      </c>
    </row>
    <row r="119" spans="1:17" x14ac:dyDescent="0.25">
      <c r="A119">
        <v>292</v>
      </c>
      <c r="B119" t="s">
        <v>23</v>
      </c>
      <c r="C119" t="s">
        <v>24</v>
      </c>
      <c r="D119" t="s">
        <v>8</v>
      </c>
      <c r="E119" s="1" t="s">
        <v>331</v>
      </c>
      <c r="F119">
        <f>VLOOKUP(Tabela14[[#This Row],[ID_COD]],Tabela2[],6,0)</f>
        <v>0</v>
      </c>
      <c r="G119" t="s">
        <v>213</v>
      </c>
      <c r="H119" s="46">
        <v>28.970526315789471</v>
      </c>
      <c r="I119" s="47">
        <f>Tabela14[[#This Row],[PRECO 3%]]+(Tabela14[[#This Row],[PRECO 3%]]*0.06)</f>
        <v>30.708757894736838</v>
      </c>
      <c r="J119" s="49">
        <f>(Tabela14[[#This Row],[PRECO 3%]]*0.1)+Tabela14[[#This Row],[PRECO 3%]]</f>
        <v>31.867578947368418</v>
      </c>
      <c r="K119" s="49">
        <f>(Tabela14[[#This Row],[REGIÃO01-3%]]*0.06)+Tabela14[[#This Row],[REGIÃO01-3%]]</f>
        <v>33.779633684210523</v>
      </c>
      <c r="L119" s="50">
        <f>(Tabela14[[#This Row],[PRECO 3%]]*0.05)+Tabela14[[#This Row],[PRECO 3%]]</f>
        <v>30.419052631578943</v>
      </c>
      <c r="M119" s="50">
        <f>(Tabela14[[#This Row],[REGIÃO02 - 3%]]*0.06)+Tabela14[[#This Row],[REGIÃO02 - 3%]]</f>
        <v>32.244195789473679</v>
      </c>
      <c r="N119" s="51">
        <f>(Tabela14[[#This Row],[PRECO 3%]]*0.08)+Tabela14[[#This Row],[PRECO 3%]]</f>
        <v>31.288168421052628</v>
      </c>
      <c r="O119" s="51">
        <f>(Tabela14[[#This Row],[REGIÃO03-3%]]*0.06)+Tabela14[[#This Row],[REGIÃO03-3%]]</f>
        <v>33.165458526315788</v>
      </c>
      <c r="P119" s="52">
        <f>(Tabela14[[#This Row],[PRECO 3%]]*0.06)+Tabela14[[#This Row],[PRECO 3%]]</f>
        <v>30.708757894736838</v>
      </c>
      <c r="Q119" s="34">
        <f>(Tabela14[[#This Row],[REGIÃO04-3%]]*0.06)+Tabela14[[#This Row],[REGIÃO04-3%]]</f>
        <v>32.551283368421046</v>
      </c>
    </row>
    <row r="120" spans="1:17" x14ac:dyDescent="0.25">
      <c r="A120">
        <v>293</v>
      </c>
      <c r="B120" t="s">
        <v>23</v>
      </c>
      <c r="C120" t="s">
        <v>24</v>
      </c>
      <c r="D120" t="s">
        <v>8</v>
      </c>
      <c r="E120" s="1" t="s">
        <v>332</v>
      </c>
      <c r="F120">
        <f>VLOOKUP(Tabela14[[#This Row],[ID_COD]],Tabela2[],6,0)</f>
        <v>0</v>
      </c>
      <c r="G120" t="s">
        <v>215</v>
      </c>
      <c r="H120" s="46">
        <v>29.775263157894734</v>
      </c>
      <c r="I120" s="47">
        <f>Tabela14[[#This Row],[PRECO 3%]]+(Tabela14[[#This Row],[PRECO 3%]]*0.06)</f>
        <v>31.561778947368417</v>
      </c>
      <c r="J120" s="49">
        <f>(Tabela14[[#This Row],[PRECO 3%]]*0.1)+Tabela14[[#This Row],[PRECO 3%]]</f>
        <v>32.75278947368421</v>
      </c>
      <c r="K120" s="49">
        <f>(Tabela14[[#This Row],[REGIÃO01-3%]]*0.06)+Tabela14[[#This Row],[REGIÃO01-3%]]</f>
        <v>34.717956842105259</v>
      </c>
      <c r="L120" s="50">
        <f>(Tabela14[[#This Row],[PRECO 3%]]*0.05)+Tabela14[[#This Row],[PRECO 3%]]</f>
        <v>31.264026315789472</v>
      </c>
      <c r="M120" s="50">
        <f>(Tabela14[[#This Row],[REGIÃO02 - 3%]]*0.06)+Tabela14[[#This Row],[REGIÃO02 - 3%]]</f>
        <v>33.139867894736838</v>
      </c>
      <c r="N120" s="51">
        <f>(Tabela14[[#This Row],[PRECO 3%]]*0.08)+Tabela14[[#This Row],[PRECO 3%]]</f>
        <v>32.157284210526313</v>
      </c>
      <c r="O120" s="51">
        <f>(Tabela14[[#This Row],[REGIÃO03-3%]]*0.06)+Tabela14[[#This Row],[REGIÃO03-3%]]</f>
        <v>34.086721263157891</v>
      </c>
      <c r="P120" s="52">
        <f>(Tabela14[[#This Row],[PRECO 3%]]*0.06)+Tabela14[[#This Row],[PRECO 3%]]</f>
        <v>31.561778947368417</v>
      </c>
      <c r="Q120" s="34">
        <f>(Tabela14[[#This Row],[REGIÃO04-3%]]*0.06)+Tabela14[[#This Row],[REGIÃO04-3%]]</f>
        <v>33.455485684210522</v>
      </c>
    </row>
    <row r="121" spans="1:17" x14ac:dyDescent="0.25">
      <c r="A121">
        <v>294</v>
      </c>
      <c r="B121" t="s">
        <v>23</v>
      </c>
      <c r="C121" t="s">
        <v>24</v>
      </c>
      <c r="D121" t="s">
        <v>8</v>
      </c>
      <c r="E121" s="1" t="s">
        <v>333</v>
      </c>
      <c r="F121">
        <f>VLOOKUP(Tabela14[[#This Row],[ID_COD]],Tabela2[],6,0)</f>
        <v>0</v>
      </c>
      <c r="G121" t="s">
        <v>207</v>
      </c>
      <c r="H121" s="46">
        <v>30.58</v>
      </c>
      <c r="I121" s="47">
        <f>Tabela14[[#This Row],[PRECO 3%]]+(Tabela14[[#This Row],[PRECO 3%]]*0.06)</f>
        <v>32.4148</v>
      </c>
      <c r="J121" s="49">
        <f>(Tabela14[[#This Row],[PRECO 3%]]*0.1)+Tabela14[[#This Row],[PRECO 3%]]</f>
        <v>33.637999999999998</v>
      </c>
      <c r="K121" s="49">
        <f>(Tabela14[[#This Row],[REGIÃO01-3%]]*0.06)+Tabela14[[#This Row],[REGIÃO01-3%]]</f>
        <v>35.656279999999995</v>
      </c>
      <c r="L121" s="50">
        <f>(Tabela14[[#This Row],[PRECO 3%]]*0.05)+Tabela14[[#This Row],[PRECO 3%]]</f>
        <v>32.108999999999995</v>
      </c>
      <c r="M121" s="50">
        <f>(Tabela14[[#This Row],[REGIÃO02 - 3%]]*0.06)+Tabela14[[#This Row],[REGIÃO02 - 3%]]</f>
        <v>34.035539999999997</v>
      </c>
      <c r="N121" s="51">
        <f>(Tabela14[[#This Row],[PRECO 3%]]*0.08)+Tabela14[[#This Row],[PRECO 3%]]</f>
        <v>33.026399999999995</v>
      </c>
      <c r="O121" s="51">
        <f>(Tabela14[[#This Row],[REGIÃO03-3%]]*0.06)+Tabela14[[#This Row],[REGIÃO03-3%]]</f>
        <v>35.007983999999993</v>
      </c>
      <c r="P121" s="52">
        <f>(Tabela14[[#This Row],[PRECO 3%]]*0.06)+Tabela14[[#This Row],[PRECO 3%]]</f>
        <v>32.4148</v>
      </c>
      <c r="Q121" s="34">
        <f>(Tabela14[[#This Row],[REGIÃO04-3%]]*0.06)+Tabela14[[#This Row],[REGIÃO04-3%]]</f>
        <v>34.359687999999998</v>
      </c>
    </row>
    <row r="122" spans="1:17" x14ac:dyDescent="0.25">
      <c r="A122">
        <v>295</v>
      </c>
      <c r="B122" t="s">
        <v>23</v>
      </c>
      <c r="C122" t="s">
        <v>24</v>
      </c>
      <c r="D122" t="s">
        <v>8</v>
      </c>
      <c r="E122" s="1" t="s">
        <v>334</v>
      </c>
      <c r="F122">
        <f>VLOOKUP(Tabela14[[#This Row],[ID_COD]],Tabela2[],6,0)</f>
        <v>0</v>
      </c>
      <c r="G122" t="s">
        <v>217</v>
      </c>
      <c r="H122" s="46">
        <v>31.384736842105259</v>
      </c>
      <c r="I122" s="47">
        <f>Tabela14[[#This Row],[PRECO 3%]]+(Tabela14[[#This Row],[PRECO 3%]]*0.06)</f>
        <v>33.267821052631575</v>
      </c>
      <c r="J122" s="49">
        <f>(Tabela14[[#This Row],[PRECO 3%]]*0.1)+Tabela14[[#This Row],[PRECO 3%]]</f>
        <v>34.523210526315786</v>
      </c>
      <c r="K122" s="49">
        <f>(Tabela14[[#This Row],[REGIÃO01-3%]]*0.06)+Tabela14[[#This Row],[REGIÃO01-3%]]</f>
        <v>36.594603157894731</v>
      </c>
      <c r="L122" s="50">
        <f>(Tabela14[[#This Row],[PRECO 3%]]*0.05)+Tabela14[[#This Row],[PRECO 3%]]</f>
        <v>32.953973684210524</v>
      </c>
      <c r="M122" s="50">
        <f>(Tabela14[[#This Row],[REGIÃO02 - 3%]]*0.06)+Tabela14[[#This Row],[REGIÃO02 - 3%]]</f>
        <v>34.931212105263157</v>
      </c>
      <c r="N122" s="51">
        <f>(Tabela14[[#This Row],[PRECO 3%]]*0.08)+Tabela14[[#This Row],[PRECO 3%]]</f>
        <v>33.895515789473677</v>
      </c>
      <c r="O122" s="51">
        <f>(Tabela14[[#This Row],[REGIÃO03-3%]]*0.06)+Tabela14[[#This Row],[REGIÃO03-3%]]</f>
        <v>35.929246736842096</v>
      </c>
      <c r="P122" s="52">
        <f>(Tabela14[[#This Row],[PRECO 3%]]*0.06)+Tabela14[[#This Row],[PRECO 3%]]</f>
        <v>33.267821052631575</v>
      </c>
      <c r="Q122" s="34">
        <f>(Tabela14[[#This Row],[REGIÃO04-3%]]*0.06)+Tabela14[[#This Row],[REGIÃO04-3%]]</f>
        <v>35.263890315789467</v>
      </c>
    </row>
    <row r="123" spans="1:17" x14ac:dyDescent="0.25">
      <c r="A123">
        <v>296</v>
      </c>
      <c r="B123" t="s">
        <v>23</v>
      </c>
      <c r="C123" t="s">
        <v>24</v>
      </c>
      <c r="D123" t="s">
        <v>8</v>
      </c>
      <c r="E123" s="1" t="s">
        <v>335</v>
      </c>
      <c r="F123">
        <f>VLOOKUP(Tabela14[[#This Row],[ID_COD]],Tabela2[],6,0)</f>
        <v>20</v>
      </c>
      <c r="G123" t="s">
        <v>186</v>
      </c>
      <c r="H123" s="46">
        <v>32.189473684210526</v>
      </c>
      <c r="I123" s="47">
        <f>Tabela14[[#This Row],[PRECO 3%]]+(Tabela14[[#This Row],[PRECO 3%]]*0.06)</f>
        <v>34.120842105263158</v>
      </c>
      <c r="J123" s="49">
        <f>(Tabela14[[#This Row],[PRECO 3%]]*0.1)+Tabela14[[#This Row],[PRECO 3%]]</f>
        <v>35.408421052631581</v>
      </c>
      <c r="K123" s="49">
        <f>(Tabela14[[#This Row],[REGIÃO01-3%]]*0.06)+Tabela14[[#This Row],[REGIÃO01-3%]]</f>
        <v>37.532926315789474</v>
      </c>
      <c r="L123" s="50">
        <f>(Tabela14[[#This Row],[PRECO 3%]]*0.05)+Tabela14[[#This Row],[PRECO 3%]]</f>
        <v>33.798947368421054</v>
      </c>
      <c r="M123" s="50">
        <f>(Tabela14[[#This Row],[REGIÃO02 - 3%]]*0.06)+Tabela14[[#This Row],[REGIÃO02 - 3%]]</f>
        <v>35.826884210526316</v>
      </c>
      <c r="N123" s="51">
        <f>(Tabela14[[#This Row],[PRECO 3%]]*0.08)+Tabela14[[#This Row],[PRECO 3%]]</f>
        <v>34.764631578947366</v>
      </c>
      <c r="O123" s="51">
        <f>(Tabela14[[#This Row],[REGIÃO03-3%]]*0.06)+Tabela14[[#This Row],[REGIÃO03-3%]]</f>
        <v>36.850509473684205</v>
      </c>
      <c r="P123" s="52">
        <f>(Tabela14[[#This Row],[PRECO 3%]]*0.06)+Tabela14[[#This Row],[PRECO 3%]]</f>
        <v>34.120842105263158</v>
      </c>
      <c r="Q123" s="34">
        <f>(Tabela14[[#This Row],[REGIÃO04-3%]]*0.06)+Tabela14[[#This Row],[REGIÃO04-3%]]</f>
        <v>36.168092631578943</v>
      </c>
    </row>
    <row r="124" spans="1:17" x14ac:dyDescent="0.25">
      <c r="A124">
        <v>297</v>
      </c>
      <c r="B124" t="s">
        <v>25</v>
      </c>
      <c r="C124" t="s">
        <v>26</v>
      </c>
      <c r="D124" t="s">
        <v>8</v>
      </c>
      <c r="E124" s="1" t="s">
        <v>333</v>
      </c>
      <c r="F124">
        <f>VLOOKUP(Tabela14[[#This Row],[ID_COD]],Tabela2[],6,0)</f>
        <v>20</v>
      </c>
      <c r="G124" t="s">
        <v>230</v>
      </c>
      <c r="H124" s="46">
        <v>30.529756097560973</v>
      </c>
      <c r="I124" s="47">
        <f>Tabela14[[#This Row],[PRECO 3%]]+(Tabela14[[#This Row],[PRECO 3%]]*0.06)</f>
        <v>32.361541463414632</v>
      </c>
      <c r="J124" s="49">
        <f>(Tabela14[[#This Row],[PRECO 3%]]*0.1)+Tabela14[[#This Row],[PRECO 3%]]</f>
        <v>33.582731707317073</v>
      </c>
      <c r="K124" s="49">
        <f>(Tabela14[[#This Row],[REGIÃO01-3%]]*0.06)+Tabela14[[#This Row],[REGIÃO01-3%]]</f>
        <v>35.597695609756094</v>
      </c>
      <c r="L124" s="50">
        <f>(Tabela14[[#This Row],[PRECO 3%]]*0.05)+Tabela14[[#This Row],[PRECO 3%]]</f>
        <v>32.056243902439022</v>
      </c>
      <c r="M124" s="50">
        <f>(Tabela14[[#This Row],[REGIÃO02 - 3%]]*0.06)+Tabela14[[#This Row],[REGIÃO02 - 3%]]</f>
        <v>33.979618536585363</v>
      </c>
      <c r="N124" s="51">
        <f>(Tabela14[[#This Row],[PRECO 3%]]*0.08)+Tabela14[[#This Row],[PRECO 3%]]</f>
        <v>32.972136585365853</v>
      </c>
      <c r="O124" s="51">
        <f>(Tabela14[[#This Row],[REGIÃO03-3%]]*0.06)+Tabela14[[#This Row],[REGIÃO03-3%]]</f>
        <v>34.950464780487806</v>
      </c>
      <c r="P124" s="52">
        <f>(Tabela14[[#This Row],[PRECO 3%]]*0.06)+Tabela14[[#This Row],[PRECO 3%]]</f>
        <v>32.361541463414632</v>
      </c>
      <c r="Q124" s="34">
        <f>(Tabela14[[#This Row],[REGIÃO04-3%]]*0.06)+Tabela14[[#This Row],[REGIÃO04-3%]]</f>
        <v>34.303233951219511</v>
      </c>
    </row>
    <row r="125" spans="1:17" x14ac:dyDescent="0.25">
      <c r="A125">
        <v>298</v>
      </c>
      <c r="B125" t="s">
        <v>25</v>
      </c>
      <c r="C125" t="s">
        <v>26</v>
      </c>
      <c r="D125" t="s">
        <v>8</v>
      </c>
      <c r="E125" s="1" t="s">
        <v>334</v>
      </c>
      <c r="F125">
        <f>VLOOKUP(Tabela14[[#This Row],[ID_COD]],Tabela2[],6,0)</f>
        <v>20</v>
      </c>
      <c r="G125" t="s">
        <v>231</v>
      </c>
      <c r="H125" s="46">
        <v>31.333170731707312</v>
      </c>
      <c r="I125" s="47">
        <f>Tabela14[[#This Row],[PRECO 3%]]+(Tabela14[[#This Row],[PRECO 3%]]*0.06)</f>
        <v>33.213160975609753</v>
      </c>
      <c r="J125" s="49">
        <f>(Tabela14[[#This Row],[PRECO 3%]]*0.1)+Tabela14[[#This Row],[PRECO 3%]]</f>
        <v>34.466487804878042</v>
      </c>
      <c r="K125" s="49">
        <f>(Tabela14[[#This Row],[REGIÃO01-3%]]*0.06)+Tabela14[[#This Row],[REGIÃO01-3%]]</f>
        <v>36.534477073170727</v>
      </c>
      <c r="L125" s="50">
        <f>(Tabela14[[#This Row],[PRECO 3%]]*0.05)+Tabela14[[#This Row],[PRECO 3%]]</f>
        <v>32.899829268292677</v>
      </c>
      <c r="M125" s="50">
        <f>(Tabela14[[#This Row],[REGIÃO02 - 3%]]*0.06)+Tabela14[[#This Row],[REGIÃO02 - 3%]]</f>
        <v>34.873819024390237</v>
      </c>
      <c r="N125" s="51">
        <f>(Tabela14[[#This Row],[PRECO 3%]]*0.08)+Tabela14[[#This Row],[PRECO 3%]]</f>
        <v>33.839824390243898</v>
      </c>
      <c r="O125" s="51">
        <f>(Tabela14[[#This Row],[REGIÃO03-3%]]*0.06)+Tabela14[[#This Row],[REGIÃO03-3%]]</f>
        <v>35.870213853658534</v>
      </c>
      <c r="P125" s="52">
        <f>(Tabela14[[#This Row],[PRECO 3%]]*0.06)+Tabela14[[#This Row],[PRECO 3%]]</f>
        <v>33.213160975609753</v>
      </c>
      <c r="Q125" s="34">
        <f>(Tabela14[[#This Row],[REGIÃO04-3%]]*0.06)+Tabela14[[#This Row],[REGIÃO04-3%]]</f>
        <v>35.20595063414634</v>
      </c>
    </row>
    <row r="126" spans="1:17" x14ac:dyDescent="0.25">
      <c r="A126">
        <v>299</v>
      </c>
      <c r="B126" t="s">
        <v>25</v>
      </c>
      <c r="C126" t="s">
        <v>26</v>
      </c>
      <c r="D126" t="s">
        <v>8</v>
      </c>
      <c r="E126" s="1" t="s">
        <v>335</v>
      </c>
      <c r="F126">
        <f>VLOOKUP(Tabela14[[#This Row],[ID_COD]],Tabela2[],6,0)</f>
        <v>20</v>
      </c>
      <c r="G126" t="s">
        <v>232</v>
      </c>
      <c r="H126" s="46">
        <v>32.136585365853655</v>
      </c>
      <c r="I126" s="47">
        <f>Tabela14[[#This Row],[PRECO 3%]]+(Tabela14[[#This Row],[PRECO 3%]]*0.06)</f>
        <v>34.064780487804875</v>
      </c>
      <c r="J126" s="49">
        <f>(Tabela14[[#This Row],[PRECO 3%]]*0.1)+Tabela14[[#This Row],[PRECO 3%]]</f>
        <v>35.350243902439018</v>
      </c>
      <c r="K126" s="49">
        <f>(Tabela14[[#This Row],[REGIÃO01-3%]]*0.06)+Tabela14[[#This Row],[REGIÃO01-3%]]</f>
        <v>37.47125853658536</v>
      </c>
      <c r="L126" s="50">
        <f>(Tabela14[[#This Row],[PRECO 3%]]*0.05)+Tabela14[[#This Row],[PRECO 3%]]</f>
        <v>33.74341463414634</v>
      </c>
      <c r="M126" s="50">
        <f>(Tabela14[[#This Row],[REGIÃO02 - 3%]]*0.06)+Tabela14[[#This Row],[REGIÃO02 - 3%]]</f>
        <v>35.768019512195124</v>
      </c>
      <c r="N126" s="51">
        <f>(Tabela14[[#This Row],[PRECO 3%]]*0.08)+Tabela14[[#This Row],[PRECO 3%]]</f>
        <v>34.70751219512195</v>
      </c>
      <c r="O126" s="51">
        <f>(Tabela14[[#This Row],[REGIÃO03-3%]]*0.06)+Tabela14[[#This Row],[REGIÃO03-3%]]</f>
        <v>36.789962926829268</v>
      </c>
      <c r="P126" s="52">
        <f>(Tabela14[[#This Row],[PRECO 3%]]*0.06)+Tabela14[[#This Row],[PRECO 3%]]</f>
        <v>34.064780487804875</v>
      </c>
      <c r="Q126" s="34">
        <f>(Tabela14[[#This Row],[REGIÃO04-3%]]*0.06)+Tabela14[[#This Row],[REGIÃO04-3%]]</f>
        <v>36.10866731707317</v>
      </c>
    </row>
    <row r="127" spans="1:17" x14ac:dyDescent="0.25">
      <c r="A127">
        <v>300</v>
      </c>
      <c r="B127" t="s">
        <v>25</v>
      </c>
      <c r="C127" t="s">
        <v>26</v>
      </c>
      <c r="D127" t="s">
        <v>8</v>
      </c>
      <c r="E127" s="1" t="s">
        <v>336</v>
      </c>
      <c r="F127">
        <f>VLOOKUP(Tabela14[[#This Row],[ID_COD]],Tabela2[],6,0)</f>
        <v>20</v>
      </c>
      <c r="G127" t="s">
        <v>234</v>
      </c>
      <c r="H127" s="46">
        <v>32.94</v>
      </c>
      <c r="I127" s="47">
        <f>Tabela14[[#This Row],[PRECO 3%]]+(Tabela14[[#This Row],[PRECO 3%]]*0.06)</f>
        <v>34.916399999999996</v>
      </c>
      <c r="J127" s="49">
        <f>(Tabela14[[#This Row],[PRECO 3%]]*0.1)+Tabela14[[#This Row],[PRECO 3%]]</f>
        <v>36.233999999999995</v>
      </c>
      <c r="K127" s="49">
        <f>(Tabela14[[#This Row],[REGIÃO01-3%]]*0.06)+Tabela14[[#This Row],[REGIÃO01-3%]]</f>
        <v>38.408039999999993</v>
      </c>
      <c r="L127" s="50">
        <f>(Tabela14[[#This Row],[PRECO 3%]]*0.05)+Tabela14[[#This Row],[PRECO 3%]]</f>
        <v>34.586999999999996</v>
      </c>
      <c r="M127" s="50">
        <f>(Tabela14[[#This Row],[REGIÃO02 - 3%]]*0.06)+Tabela14[[#This Row],[REGIÃO02 - 3%]]</f>
        <v>36.662219999999998</v>
      </c>
      <c r="N127" s="51">
        <f>(Tabela14[[#This Row],[PRECO 3%]]*0.08)+Tabela14[[#This Row],[PRECO 3%]]</f>
        <v>35.575199999999995</v>
      </c>
      <c r="O127" s="51">
        <f>(Tabela14[[#This Row],[REGIÃO03-3%]]*0.06)+Tabela14[[#This Row],[REGIÃO03-3%]]</f>
        <v>37.709711999999996</v>
      </c>
      <c r="P127" s="52">
        <f>(Tabela14[[#This Row],[PRECO 3%]]*0.06)+Tabela14[[#This Row],[PRECO 3%]]</f>
        <v>34.916399999999996</v>
      </c>
      <c r="Q127" s="34">
        <f>(Tabela14[[#This Row],[REGIÃO04-3%]]*0.06)+Tabela14[[#This Row],[REGIÃO04-3%]]</f>
        <v>37.011383999999993</v>
      </c>
    </row>
    <row r="128" spans="1:17" x14ac:dyDescent="0.25">
      <c r="A128">
        <v>301</v>
      </c>
      <c r="B128" t="s">
        <v>25</v>
      </c>
      <c r="C128" t="s">
        <v>26</v>
      </c>
      <c r="D128" t="s">
        <v>8</v>
      </c>
      <c r="E128" s="1" t="s">
        <v>141</v>
      </c>
      <c r="F128">
        <f>VLOOKUP(Tabela14[[#This Row],[ID_COD]],Tabela2[],6,0)</f>
        <v>0</v>
      </c>
      <c r="G128" t="s">
        <v>235</v>
      </c>
      <c r="H128" s="46">
        <v>33.74341463414634</v>
      </c>
      <c r="I128" s="47">
        <f>Tabela14[[#This Row],[PRECO 3%]]+(Tabela14[[#This Row],[PRECO 3%]]*0.06)</f>
        <v>35.768019512195124</v>
      </c>
      <c r="J128" s="49">
        <f>(Tabela14[[#This Row],[PRECO 3%]]*0.1)+Tabela14[[#This Row],[PRECO 3%]]</f>
        <v>37.117756097560971</v>
      </c>
      <c r="K128" s="49">
        <f>(Tabela14[[#This Row],[REGIÃO01-3%]]*0.06)+Tabela14[[#This Row],[REGIÃO01-3%]]</f>
        <v>39.344821463414632</v>
      </c>
      <c r="L128" s="50">
        <f>(Tabela14[[#This Row],[PRECO 3%]]*0.05)+Tabela14[[#This Row],[PRECO 3%]]</f>
        <v>35.430585365853659</v>
      </c>
      <c r="M128" s="50">
        <f>(Tabela14[[#This Row],[REGIÃO02 - 3%]]*0.06)+Tabela14[[#This Row],[REGIÃO02 - 3%]]</f>
        <v>37.556420487804878</v>
      </c>
      <c r="N128" s="51">
        <f>(Tabela14[[#This Row],[PRECO 3%]]*0.08)+Tabela14[[#This Row],[PRECO 3%]]</f>
        <v>36.442887804878048</v>
      </c>
      <c r="O128" s="51">
        <f>(Tabela14[[#This Row],[REGIÃO03-3%]]*0.06)+Tabela14[[#This Row],[REGIÃO03-3%]]</f>
        <v>38.629461073170731</v>
      </c>
      <c r="P128" s="52">
        <f>(Tabela14[[#This Row],[PRECO 3%]]*0.06)+Tabela14[[#This Row],[PRECO 3%]]</f>
        <v>35.768019512195124</v>
      </c>
      <c r="Q128" s="34">
        <f>(Tabela14[[#This Row],[REGIÃO04-3%]]*0.06)+Tabela14[[#This Row],[REGIÃO04-3%]]</f>
        <v>37.914100682926829</v>
      </c>
    </row>
    <row r="129" spans="1:17" x14ac:dyDescent="0.25">
      <c r="A129">
        <v>302</v>
      </c>
      <c r="B129" t="s">
        <v>25</v>
      </c>
      <c r="C129" t="s">
        <v>26</v>
      </c>
      <c r="D129" t="s">
        <v>8</v>
      </c>
      <c r="E129" s="1" t="s">
        <v>164</v>
      </c>
      <c r="F129">
        <f>VLOOKUP(Tabela14[[#This Row],[ID_COD]],Tabela2[],6,0)</f>
        <v>0</v>
      </c>
      <c r="G129" t="s">
        <v>237</v>
      </c>
      <c r="H129" s="46">
        <v>34.546829268292683</v>
      </c>
      <c r="I129" s="47">
        <f>Tabela14[[#This Row],[PRECO 3%]]+(Tabela14[[#This Row],[PRECO 3%]]*0.06)</f>
        <v>36.619639024390246</v>
      </c>
      <c r="J129" s="49">
        <f>(Tabela14[[#This Row],[PRECO 3%]]*0.1)+Tabela14[[#This Row],[PRECO 3%]]</f>
        <v>38.001512195121954</v>
      </c>
      <c r="K129" s="49">
        <f>(Tabela14[[#This Row],[REGIÃO01-3%]]*0.06)+Tabela14[[#This Row],[REGIÃO01-3%]]</f>
        <v>40.281602926829272</v>
      </c>
      <c r="L129" s="50">
        <f>(Tabela14[[#This Row],[PRECO 3%]]*0.05)+Tabela14[[#This Row],[PRECO 3%]]</f>
        <v>36.274170731707315</v>
      </c>
      <c r="M129" s="50">
        <f>(Tabela14[[#This Row],[REGIÃO02 - 3%]]*0.06)+Tabela14[[#This Row],[REGIÃO02 - 3%]]</f>
        <v>38.450620975609752</v>
      </c>
      <c r="N129" s="51">
        <f>(Tabela14[[#This Row],[PRECO 3%]]*0.08)+Tabela14[[#This Row],[PRECO 3%]]</f>
        <v>37.3105756097561</v>
      </c>
      <c r="O129" s="51">
        <f>(Tabela14[[#This Row],[REGIÃO03-3%]]*0.06)+Tabela14[[#This Row],[REGIÃO03-3%]]</f>
        <v>39.549210146341466</v>
      </c>
      <c r="P129" s="52">
        <f>(Tabela14[[#This Row],[PRECO 3%]]*0.06)+Tabela14[[#This Row],[PRECO 3%]]</f>
        <v>36.619639024390246</v>
      </c>
      <c r="Q129" s="34">
        <f>(Tabela14[[#This Row],[REGIÃO04-3%]]*0.06)+Tabela14[[#This Row],[REGIÃO04-3%]]</f>
        <v>38.816817365853659</v>
      </c>
    </row>
    <row r="130" spans="1:17" x14ac:dyDescent="0.25">
      <c r="A130">
        <v>303</v>
      </c>
      <c r="B130" t="s">
        <v>25</v>
      </c>
      <c r="C130" t="s">
        <v>26</v>
      </c>
      <c r="D130" t="s">
        <v>8</v>
      </c>
      <c r="E130" s="1" t="s">
        <v>337</v>
      </c>
      <c r="F130">
        <f>VLOOKUP(Tabela14[[#This Row],[ID_COD]],Tabela2[],6,0)</f>
        <v>0</v>
      </c>
      <c r="G130" t="s">
        <v>239</v>
      </c>
      <c r="H130" s="46">
        <v>35.350243902439018</v>
      </c>
      <c r="I130" s="47">
        <f>Tabela14[[#This Row],[PRECO 3%]]+(Tabela14[[#This Row],[PRECO 3%]]*0.06)</f>
        <v>37.47125853658536</v>
      </c>
      <c r="J130" s="49">
        <f>(Tabela14[[#This Row],[PRECO 3%]]*0.1)+Tabela14[[#This Row],[PRECO 3%]]</f>
        <v>38.885268292682923</v>
      </c>
      <c r="K130" s="49">
        <f>(Tabela14[[#This Row],[REGIÃO01-3%]]*0.06)+Tabela14[[#This Row],[REGIÃO01-3%]]</f>
        <v>41.218384390243898</v>
      </c>
      <c r="L130" s="50">
        <f>(Tabela14[[#This Row],[PRECO 3%]]*0.05)+Tabela14[[#This Row],[PRECO 3%]]</f>
        <v>37.117756097560971</v>
      </c>
      <c r="M130" s="50">
        <f>(Tabela14[[#This Row],[REGIÃO02 - 3%]]*0.06)+Tabela14[[#This Row],[REGIÃO02 - 3%]]</f>
        <v>39.344821463414632</v>
      </c>
      <c r="N130" s="51">
        <f>(Tabela14[[#This Row],[PRECO 3%]]*0.08)+Tabela14[[#This Row],[PRECO 3%]]</f>
        <v>38.178263414634138</v>
      </c>
      <c r="O130" s="51">
        <f>(Tabela14[[#This Row],[REGIÃO03-3%]]*0.06)+Tabela14[[#This Row],[REGIÃO03-3%]]</f>
        <v>40.468959219512186</v>
      </c>
      <c r="P130" s="52">
        <f>(Tabela14[[#This Row],[PRECO 3%]]*0.06)+Tabela14[[#This Row],[PRECO 3%]]</f>
        <v>37.47125853658536</v>
      </c>
      <c r="Q130" s="34">
        <f>(Tabela14[[#This Row],[REGIÃO04-3%]]*0.06)+Tabela14[[#This Row],[REGIÃO04-3%]]</f>
        <v>39.719534048780481</v>
      </c>
    </row>
    <row r="131" spans="1:17" x14ac:dyDescent="0.25">
      <c r="A131">
        <v>304</v>
      </c>
      <c r="B131" t="s">
        <v>25</v>
      </c>
      <c r="C131" t="s">
        <v>26</v>
      </c>
      <c r="D131" t="s">
        <v>8</v>
      </c>
      <c r="E131" s="1" t="s">
        <v>338</v>
      </c>
      <c r="F131">
        <f>VLOOKUP(Tabela14[[#This Row],[ID_COD]],Tabela2[],6,0)</f>
        <v>0</v>
      </c>
      <c r="G131" t="s">
        <v>242</v>
      </c>
      <c r="H131" s="46">
        <v>36.153658536585361</v>
      </c>
      <c r="I131" s="47">
        <f>Tabela14[[#This Row],[PRECO 3%]]+(Tabela14[[#This Row],[PRECO 3%]]*0.06)</f>
        <v>38.322878048780481</v>
      </c>
      <c r="J131" s="49">
        <f>(Tabela14[[#This Row],[PRECO 3%]]*0.1)+Tabela14[[#This Row],[PRECO 3%]]</f>
        <v>39.769024390243899</v>
      </c>
      <c r="K131" s="49">
        <f>(Tabela14[[#This Row],[REGIÃO01-3%]]*0.06)+Tabela14[[#This Row],[REGIÃO01-3%]]</f>
        <v>42.155165853658531</v>
      </c>
      <c r="L131" s="50">
        <f>(Tabela14[[#This Row],[PRECO 3%]]*0.05)+Tabela14[[#This Row],[PRECO 3%]]</f>
        <v>37.961341463414627</v>
      </c>
      <c r="M131" s="50">
        <f>(Tabela14[[#This Row],[REGIÃO02 - 3%]]*0.06)+Tabela14[[#This Row],[REGIÃO02 - 3%]]</f>
        <v>40.239021951219506</v>
      </c>
      <c r="N131" s="51">
        <f>(Tabela14[[#This Row],[PRECO 3%]]*0.08)+Tabela14[[#This Row],[PRECO 3%]]</f>
        <v>39.04595121951219</v>
      </c>
      <c r="O131" s="51">
        <f>(Tabela14[[#This Row],[REGIÃO03-3%]]*0.06)+Tabela14[[#This Row],[REGIÃO03-3%]]</f>
        <v>41.388708292682921</v>
      </c>
      <c r="P131" s="52">
        <f>(Tabela14[[#This Row],[PRECO 3%]]*0.06)+Tabela14[[#This Row],[PRECO 3%]]</f>
        <v>38.322878048780481</v>
      </c>
      <c r="Q131" s="34">
        <f>(Tabela14[[#This Row],[REGIÃO04-3%]]*0.06)+Tabela14[[#This Row],[REGIÃO04-3%]]</f>
        <v>40.622250731707311</v>
      </c>
    </row>
    <row r="132" spans="1:17" x14ac:dyDescent="0.25">
      <c r="A132">
        <v>307</v>
      </c>
      <c r="B132" t="s">
        <v>16</v>
      </c>
      <c r="C132" t="s">
        <v>17</v>
      </c>
      <c r="D132" t="s">
        <v>4</v>
      </c>
      <c r="E132" s="1" t="s">
        <v>208</v>
      </c>
      <c r="F132">
        <f>VLOOKUP(Tabela14[[#This Row],[ID_COD]],Tabela2[],6,0)</f>
        <v>72</v>
      </c>
      <c r="G132" t="s">
        <v>280</v>
      </c>
      <c r="H132" s="46">
        <v>7.4923076923076923</v>
      </c>
      <c r="I132" s="47">
        <f>Tabela14[[#This Row],[PRECO 3%]]+(Tabela14[[#This Row],[PRECO 3%]]*0.06)</f>
        <v>7.9418461538461536</v>
      </c>
      <c r="J132" s="49">
        <f>(Tabela14[[#This Row],[PRECO 3%]]*0.1)+Tabela14[[#This Row],[PRECO 3%]]</f>
        <v>8.241538461538461</v>
      </c>
      <c r="K132" s="49">
        <f>(Tabela14[[#This Row],[REGIÃO01-3%]]*0.06)+Tabela14[[#This Row],[REGIÃO01-3%]]</f>
        <v>8.7360307692307693</v>
      </c>
      <c r="L132" s="50">
        <f>(Tabela14[[#This Row],[PRECO 3%]]*0.05)+Tabela14[[#This Row],[PRECO 3%]]</f>
        <v>7.8669230769230767</v>
      </c>
      <c r="M132" s="50">
        <f>(Tabela14[[#This Row],[REGIÃO02 - 3%]]*0.06)+Tabela14[[#This Row],[REGIÃO02 - 3%]]</f>
        <v>8.3389384615384614</v>
      </c>
      <c r="N132" s="51">
        <f>(Tabela14[[#This Row],[PRECO 3%]]*0.08)+Tabela14[[#This Row],[PRECO 3%]]</f>
        <v>8.0916923076923073</v>
      </c>
      <c r="O132" s="51">
        <f>(Tabela14[[#This Row],[REGIÃO03-3%]]*0.06)+Tabela14[[#This Row],[REGIÃO03-3%]]</f>
        <v>8.5771938461538451</v>
      </c>
      <c r="P132" s="52">
        <f>(Tabela14[[#This Row],[PRECO 3%]]*0.06)+Tabela14[[#This Row],[PRECO 3%]]</f>
        <v>7.9418461538461536</v>
      </c>
      <c r="Q132" s="34">
        <f>(Tabela14[[#This Row],[REGIÃO04-3%]]*0.06)+Tabela14[[#This Row],[REGIÃO04-3%]]</f>
        <v>8.4183569230769226</v>
      </c>
    </row>
    <row r="133" spans="1:17" x14ac:dyDescent="0.25">
      <c r="A133">
        <v>308</v>
      </c>
      <c r="B133" t="s">
        <v>16</v>
      </c>
      <c r="C133" t="s">
        <v>17</v>
      </c>
      <c r="D133" t="s">
        <v>4</v>
      </c>
      <c r="E133" s="1" t="s">
        <v>224</v>
      </c>
      <c r="F133">
        <f>VLOOKUP(Tabela14[[#This Row],[ID_COD]],Tabela2[],6,0)</f>
        <v>0</v>
      </c>
      <c r="G133" t="s">
        <v>280</v>
      </c>
      <c r="H133" s="46">
        <v>8.2415384615384628</v>
      </c>
      <c r="I133" s="47">
        <f>Tabela14[[#This Row],[PRECO 3%]]+(Tabela14[[#This Row],[PRECO 3%]]*0.06)</f>
        <v>8.736030769230771</v>
      </c>
      <c r="J133" s="49">
        <f>(Tabela14[[#This Row],[PRECO 3%]]*0.1)+Tabela14[[#This Row],[PRECO 3%]]</f>
        <v>9.0656923076923093</v>
      </c>
      <c r="K133" s="49">
        <f>(Tabela14[[#This Row],[REGIÃO01-3%]]*0.06)+Tabela14[[#This Row],[REGIÃO01-3%]]</f>
        <v>9.609633846153848</v>
      </c>
      <c r="L133" s="50">
        <f>(Tabela14[[#This Row],[PRECO 3%]]*0.05)+Tabela14[[#This Row],[PRECO 3%]]</f>
        <v>8.6536153846153852</v>
      </c>
      <c r="M133" s="50">
        <f>(Tabela14[[#This Row],[REGIÃO02 - 3%]]*0.06)+Tabela14[[#This Row],[REGIÃO02 - 3%]]</f>
        <v>9.1728323076923086</v>
      </c>
      <c r="N133" s="51">
        <f>(Tabela14[[#This Row],[PRECO 3%]]*0.08)+Tabela14[[#This Row],[PRECO 3%]]</f>
        <v>8.9008615384615393</v>
      </c>
      <c r="O133" s="51">
        <f>(Tabela14[[#This Row],[REGIÃO03-3%]]*0.06)+Tabela14[[#This Row],[REGIÃO03-3%]]</f>
        <v>9.4349132307692312</v>
      </c>
      <c r="P133" s="52">
        <f>(Tabela14[[#This Row],[PRECO 3%]]*0.06)+Tabela14[[#This Row],[PRECO 3%]]</f>
        <v>8.736030769230771</v>
      </c>
      <c r="Q133" s="34">
        <f>(Tabela14[[#This Row],[REGIÃO04-3%]]*0.06)+Tabela14[[#This Row],[REGIÃO04-3%]]</f>
        <v>9.2601926153846179</v>
      </c>
    </row>
    <row r="134" spans="1:17" x14ac:dyDescent="0.25">
      <c r="A134">
        <v>309</v>
      </c>
      <c r="B134" t="s">
        <v>16</v>
      </c>
      <c r="C134" t="s">
        <v>17</v>
      </c>
      <c r="D134" t="s">
        <v>4</v>
      </c>
      <c r="E134" s="1" t="s">
        <v>245</v>
      </c>
      <c r="F134">
        <f>VLOOKUP(Tabela14[[#This Row],[ID_COD]],Tabela2[],6,0)</f>
        <v>60</v>
      </c>
      <c r="G134" t="s">
        <v>280</v>
      </c>
      <c r="H134" s="46">
        <v>8.9907692307692297</v>
      </c>
      <c r="I134" s="47">
        <f>Tabela14[[#This Row],[PRECO 3%]]+(Tabela14[[#This Row],[PRECO 3%]]*0.06)</f>
        <v>9.5302153846153832</v>
      </c>
      <c r="J134" s="49">
        <f>(Tabela14[[#This Row],[PRECO 3%]]*0.1)+Tabela14[[#This Row],[PRECO 3%]]</f>
        <v>9.8898461538461522</v>
      </c>
      <c r="K134" s="49">
        <f>(Tabela14[[#This Row],[REGIÃO01-3%]]*0.06)+Tabela14[[#This Row],[REGIÃO01-3%]]</f>
        <v>10.483236923076921</v>
      </c>
      <c r="L134" s="50">
        <f>(Tabela14[[#This Row],[PRECO 3%]]*0.05)+Tabela14[[#This Row],[PRECO 3%]]</f>
        <v>9.440307692307691</v>
      </c>
      <c r="M134" s="50">
        <f>(Tabela14[[#This Row],[REGIÃO02 - 3%]]*0.06)+Tabela14[[#This Row],[REGIÃO02 - 3%]]</f>
        <v>10.006726153846152</v>
      </c>
      <c r="N134" s="51">
        <f>(Tabela14[[#This Row],[PRECO 3%]]*0.08)+Tabela14[[#This Row],[PRECO 3%]]</f>
        <v>9.7100307692307677</v>
      </c>
      <c r="O134" s="51">
        <f>(Tabela14[[#This Row],[REGIÃO03-3%]]*0.06)+Tabela14[[#This Row],[REGIÃO03-3%]]</f>
        <v>10.292632615384614</v>
      </c>
      <c r="P134" s="52">
        <f>(Tabela14[[#This Row],[PRECO 3%]]*0.06)+Tabela14[[#This Row],[PRECO 3%]]</f>
        <v>9.5302153846153832</v>
      </c>
      <c r="Q134" s="34">
        <f>(Tabela14[[#This Row],[REGIÃO04-3%]]*0.06)+Tabela14[[#This Row],[REGIÃO04-3%]]</f>
        <v>10.102028307692306</v>
      </c>
    </row>
    <row r="135" spans="1:17" x14ac:dyDescent="0.25">
      <c r="A135">
        <v>310</v>
      </c>
      <c r="B135" t="s">
        <v>16</v>
      </c>
      <c r="C135" t="s">
        <v>17</v>
      </c>
      <c r="D135" t="s">
        <v>4</v>
      </c>
      <c r="E135" s="1" t="s">
        <v>190</v>
      </c>
      <c r="F135">
        <v>60</v>
      </c>
      <c r="G135" t="s">
        <v>280</v>
      </c>
      <c r="H135" s="46">
        <v>9.74</v>
      </c>
      <c r="I135" s="47">
        <f>Tabela14[[#This Row],[PRECO 3%]]+(Tabela14[[#This Row],[PRECO 3%]]*0.06)</f>
        <v>10.324400000000001</v>
      </c>
      <c r="J135" s="49">
        <f>(Tabela14[[#This Row],[PRECO 3%]]*0.1)+Tabela14[[#This Row],[PRECO 3%]]</f>
        <v>10.714</v>
      </c>
      <c r="K135" s="49">
        <f>(Tabela14[[#This Row],[REGIÃO01-3%]]*0.06)+Tabela14[[#This Row],[REGIÃO01-3%]]</f>
        <v>11.35684</v>
      </c>
      <c r="L135" s="50">
        <f>(Tabela14[[#This Row],[PRECO 3%]]*0.05)+Tabela14[[#This Row],[PRECO 3%]]</f>
        <v>10.227</v>
      </c>
      <c r="M135" s="50">
        <f>(Tabela14[[#This Row],[REGIÃO02 - 3%]]*0.06)+Tabela14[[#This Row],[REGIÃO02 - 3%]]</f>
        <v>10.840619999999999</v>
      </c>
      <c r="N135" s="51">
        <f>(Tabela14[[#This Row],[PRECO 3%]]*0.08)+Tabela14[[#This Row],[PRECO 3%]]</f>
        <v>10.5192</v>
      </c>
      <c r="O135" s="51">
        <f>(Tabela14[[#This Row],[REGIÃO03-3%]]*0.06)+Tabela14[[#This Row],[REGIÃO03-3%]]</f>
        <v>11.150352</v>
      </c>
      <c r="P135" s="52">
        <f>(Tabela14[[#This Row],[PRECO 3%]]*0.06)+Tabela14[[#This Row],[PRECO 3%]]</f>
        <v>10.324400000000001</v>
      </c>
      <c r="Q135" s="34">
        <f>(Tabela14[[#This Row],[REGIÃO04-3%]]*0.06)+Tabela14[[#This Row],[REGIÃO04-3%]]</f>
        <v>10.943864000000001</v>
      </c>
    </row>
    <row r="136" spans="1:17" x14ac:dyDescent="0.25">
      <c r="A136">
        <v>311</v>
      </c>
      <c r="B136" t="s">
        <v>16</v>
      </c>
      <c r="C136" t="s">
        <v>17</v>
      </c>
      <c r="D136" t="s">
        <v>4</v>
      </c>
      <c r="E136" s="1" t="s">
        <v>214</v>
      </c>
      <c r="F136">
        <f>VLOOKUP(Tabela14[[#This Row],[ID_COD]],Tabela2[],6,0)</f>
        <v>0</v>
      </c>
      <c r="G136" t="s">
        <v>288</v>
      </c>
      <c r="H136" s="46">
        <v>10.489230769230771</v>
      </c>
      <c r="I136" s="47">
        <f>Tabela14[[#This Row],[PRECO 3%]]+(Tabela14[[#This Row],[PRECO 3%]]*0.06)</f>
        <v>11.118584615384616</v>
      </c>
      <c r="J136" s="49">
        <f>(Tabela14[[#This Row],[PRECO 3%]]*0.1)+Tabela14[[#This Row],[PRECO 3%]]</f>
        <v>11.538153846153847</v>
      </c>
      <c r="K136" s="49">
        <f>(Tabela14[[#This Row],[REGIÃO01-3%]]*0.06)+Tabela14[[#This Row],[REGIÃO01-3%]]</f>
        <v>12.230443076923077</v>
      </c>
      <c r="L136" s="50">
        <f>(Tabela14[[#This Row],[PRECO 3%]]*0.05)+Tabela14[[#This Row],[PRECO 3%]]</f>
        <v>11.01369230769231</v>
      </c>
      <c r="M136" s="50">
        <f>(Tabela14[[#This Row],[REGIÃO02 - 3%]]*0.06)+Tabela14[[#This Row],[REGIÃO02 - 3%]]</f>
        <v>11.674513846153848</v>
      </c>
      <c r="N136" s="51">
        <f>(Tabela14[[#This Row],[PRECO 3%]]*0.08)+Tabela14[[#This Row],[PRECO 3%]]</f>
        <v>11.328369230769232</v>
      </c>
      <c r="O136" s="51">
        <f>(Tabela14[[#This Row],[REGIÃO03-3%]]*0.06)+Tabela14[[#This Row],[REGIÃO03-3%]]</f>
        <v>12.008071384615386</v>
      </c>
      <c r="P136" s="52">
        <f>(Tabela14[[#This Row],[PRECO 3%]]*0.06)+Tabela14[[#This Row],[PRECO 3%]]</f>
        <v>11.118584615384616</v>
      </c>
      <c r="Q136" s="34">
        <f>(Tabela14[[#This Row],[REGIÃO04-3%]]*0.06)+Tabela14[[#This Row],[REGIÃO04-3%]]</f>
        <v>11.785699692307693</v>
      </c>
    </row>
    <row r="137" spans="1:17" x14ac:dyDescent="0.25">
      <c r="A137">
        <v>312</v>
      </c>
      <c r="B137" t="s">
        <v>16</v>
      </c>
      <c r="C137" t="s">
        <v>17</v>
      </c>
      <c r="D137" t="s">
        <v>4</v>
      </c>
      <c r="E137" s="1" t="s">
        <v>240</v>
      </c>
      <c r="F137">
        <f>VLOOKUP(Tabela14[[#This Row],[ID_COD]],Tabela2[],6,0)</f>
        <v>0</v>
      </c>
      <c r="G137" t="s">
        <v>290</v>
      </c>
      <c r="H137" s="46">
        <v>11.238461538461538</v>
      </c>
      <c r="I137" s="47">
        <f>Tabela14[[#This Row],[PRECO 3%]]+(Tabela14[[#This Row],[PRECO 3%]]*0.06)</f>
        <v>11.91276923076923</v>
      </c>
      <c r="J137" s="49">
        <f>(Tabela14[[#This Row],[PRECO 3%]]*0.1)+Tabela14[[#This Row],[PRECO 3%]]</f>
        <v>12.362307692307692</v>
      </c>
      <c r="K137" s="49">
        <f>(Tabela14[[#This Row],[REGIÃO01-3%]]*0.06)+Tabela14[[#This Row],[REGIÃO01-3%]]</f>
        <v>13.104046153846152</v>
      </c>
      <c r="L137" s="50">
        <f>(Tabela14[[#This Row],[PRECO 3%]]*0.05)+Tabela14[[#This Row],[PRECO 3%]]</f>
        <v>11.800384615384614</v>
      </c>
      <c r="M137" s="50">
        <f>(Tabela14[[#This Row],[REGIÃO02 - 3%]]*0.06)+Tabela14[[#This Row],[REGIÃO02 - 3%]]</f>
        <v>12.50840769230769</v>
      </c>
      <c r="N137" s="51">
        <f>(Tabela14[[#This Row],[PRECO 3%]]*0.08)+Tabela14[[#This Row],[PRECO 3%]]</f>
        <v>12.13753846153846</v>
      </c>
      <c r="O137" s="51">
        <f>(Tabela14[[#This Row],[REGIÃO03-3%]]*0.06)+Tabela14[[#This Row],[REGIÃO03-3%]]</f>
        <v>12.865790769230767</v>
      </c>
      <c r="P137" s="52">
        <f>(Tabela14[[#This Row],[PRECO 3%]]*0.06)+Tabela14[[#This Row],[PRECO 3%]]</f>
        <v>11.91276923076923</v>
      </c>
      <c r="Q137" s="34">
        <f>(Tabela14[[#This Row],[REGIÃO04-3%]]*0.06)+Tabela14[[#This Row],[REGIÃO04-3%]]</f>
        <v>12.627535384615385</v>
      </c>
    </row>
    <row r="138" spans="1:17" x14ac:dyDescent="0.25">
      <c r="A138">
        <v>313</v>
      </c>
      <c r="B138" t="s">
        <v>16</v>
      </c>
      <c r="C138" t="s">
        <v>17</v>
      </c>
      <c r="D138" t="s">
        <v>4</v>
      </c>
      <c r="E138" s="1" t="s">
        <v>138</v>
      </c>
      <c r="F138">
        <f>VLOOKUP(Tabela14[[#This Row],[ID_COD]],Tabela2[],6,0)</f>
        <v>50</v>
      </c>
      <c r="G138" t="s">
        <v>280</v>
      </c>
      <c r="H138" s="46">
        <v>11.98</v>
      </c>
      <c r="I138" s="47">
        <f>Tabela14[[#This Row],[PRECO 3%]]+(Tabela14[[#This Row],[PRECO 3%]]*0.06)</f>
        <v>12.6988</v>
      </c>
      <c r="J138" s="49">
        <f>(Tabela14[[#This Row],[PRECO 3%]]*0.1)+Tabela14[[#This Row],[PRECO 3%]]</f>
        <v>13.178000000000001</v>
      </c>
      <c r="K138" s="49">
        <f>(Tabela14[[#This Row],[REGIÃO01-3%]]*0.06)+Tabela14[[#This Row],[REGIÃO01-3%]]</f>
        <v>13.968680000000001</v>
      </c>
      <c r="L138" s="50">
        <f>(Tabela14[[#This Row],[PRECO 3%]]*0.05)+Tabela14[[#This Row],[PRECO 3%]]</f>
        <v>12.579000000000001</v>
      </c>
      <c r="M138" s="50">
        <f>(Tabela14[[#This Row],[REGIÃO02 - 3%]]*0.06)+Tabela14[[#This Row],[REGIÃO02 - 3%]]</f>
        <v>13.333740000000001</v>
      </c>
      <c r="N138" s="51">
        <f>(Tabela14[[#This Row],[PRECO 3%]]*0.08)+Tabela14[[#This Row],[PRECO 3%]]</f>
        <v>12.9384</v>
      </c>
      <c r="O138" s="51">
        <f>(Tabela14[[#This Row],[REGIÃO03-3%]]*0.06)+Tabela14[[#This Row],[REGIÃO03-3%]]</f>
        <v>13.714703999999999</v>
      </c>
      <c r="P138" s="52">
        <f>(Tabela14[[#This Row],[PRECO 3%]]*0.06)+Tabela14[[#This Row],[PRECO 3%]]</f>
        <v>12.6988</v>
      </c>
      <c r="Q138" s="34">
        <f>(Tabela14[[#This Row],[REGIÃO04-3%]]*0.06)+Tabela14[[#This Row],[REGIÃO04-3%]]</f>
        <v>13.460728</v>
      </c>
    </row>
    <row r="139" spans="1:17" x14ac:dyDescent="0.25">
      <c r="A139">
        <v>314</v>
      </c>
      <c r="B139" t="s">
        <v>16</v>
      </c>
      <c r="C139" t="s">
        <v>17</v>
      </c>
      <c r="D139" t="s">
        <v>4</v>
      </c>
      <c r="E139" s="1" t="s">
        <v>166</v>
      </c>
      <c r="F139">
        <f>VLOOKUP(Tabela14[[#This Row],[ID_COD]],Tabela2[],6,0)</f>
        <v>50</v>
      </c>
      <c r="G139" t="s">
        <v>292</v>
      </c>
      <c r="H139" s="46">
        <v>12.736923076923077</v>
      </c>
      <c r="I139" s="47">
        <f>Tabela14[[#This Row],[PRECO 3%]]+(Tabela14[[#This Row],[PRECO 3%]]*0.06)</f>
        <v>13.501138461538462</v>
      </c>
      <c r="J139" s="49">
        <f>(Tabela14[[#This Row],[PRECO 3%]]*0.1)+Tabela14[[#This Row],[PRECO 3%]]</f>
        <v>14.010615384615384</v>
      </c>
      <c r="K139" s="49">
        <f>(Tabela14[[#This Row],[REGIÃO01-3%]]*0.06)+Tabela14[[#This Row],[REGIÃO01-3%]]</f>
        <v>14.851252307692308</v>
      </c>
      <c r="L139" s="50">
        <f>(Tabela14[[#This Row],[PRECO 3%]]*0.05)+Tabela14[[#This Row],[PRECO 3%]]</f>
        <v>13.373769230769231</v>
      </c>
      <c r="M139" s="50">
        <f>(Tabela14[[#This Row],[REGIÃO02 - 3%]]*0.06)+Tabela14[[#This Row],[REGIÃO02 - 3%]]</f>
        <v>14.176195384615385</v>
      </c>
      <c r="N139" s="51">
        <f>(Tabela14[[#This Row],[PRECO 3%]]*0.08)+Tabela14[[#This Row],[PRECO 3%]]</f>
        <v>13.755876923076922</v>
      </c>
      <c r="O139" s="51">
        <f>(Tabela14[[#This Row],[REGIÃO03-3%]]*0.06)+Tabela14[[#This Row],[REGIÃO03-3%]]</f>
        <v>14.581229538461537</v>
      </c>
      <c r="P139" s="52">
        <f>(Tabela14[[#This Row],[PRECO 3%]]*0.06)+Tabela14[[#This Row],[PRECO 3%]]</f>
        <v>13.501138461538462</v>
      </c>
      <c r="Q139" s="34">
        <f>(Tabela14[[#This Row],[REGIÃO04-3%]]*0.06)+Tabela14[[#This Row],[REGIÃO04-3%]]</f>
        <v>14.31120676923077</v>
      </c>
    </row>
    <row r="140" spans="1:17" x14ac:dyDescent="0.25">
      <c r="A140">
        <v>315</v>
      </c>
      <c r="B140" t="s">
        <v>16</v>
      </c>
      <c r="C140" t="s">
        <v>17</v>
      </c>
      <c r="D140" t="s">
        <v>4</v>
      </c>
      <c r="E140" s="1" t="s">
        <v>323</v>
      </c>
      <c r="F140">
        <f>VLOOKUP(Tabela14[[#This Row],[ID_COD]],Tabela2[],6,0)</f>
        <v>0</v>
      </c>
      <c r="G140" t="s">
        <v>280</v>
      </c>
      <c r="H140" s="46">
        <v>13.486153846153847</v>
      </c>
      <c r="I140" s="47">
        <f>Tabela14[[#This Row],[PRECO 3%]]+(Tabela14[[#This Row],[PRECO 3%]]*0.06)</f>
        <v>14.295323076923077</v>
      </c>
      <c r="J140" s="49">
        <f>(Tabela14[[#This Row],[PRECO 3%]]*0.1)+Tabela14[[#This Row],[PRECO 3%]]</f>
        <v>14.834769230769233</v>
      </c>
      <c r="K140" s="49">
        <f>(Tabela14[[#This Row],[REGIÃO01-3%]]*0.06)+Tabela14[[#This Row],[REGIÃO01-3%]]</f>
        <v>15.724855384615386</v>
      </c>
      <c r="L140" s="50">
        <f>(Tabela14[[#This Row],[PRECO 3%]]*0.05)+Tabela14[[#This Row],[PRECO 3%]]</f>
        <v>14.16046153846154</v>
      </c>
      <c r="M140" s="50">
        <f>(Tabela14[[#This Row],[REGIÃO02 - 3%]]*0.06)+Tabela14[[#This Row],[REGIÃO02 - 3%]]</f>
        <v>15.010089230769232</v>
      </c>
      <c r="N140" s="51">
        <f>(Tabela14[[#This Row],[PRECO 3%]]*0.08)+Tabela14[[#This Row],[PRECO 3%]]</f>
        <v>14.565046153846154</v>
      </c>
      <c r="O140" s="51">
        <f>(Tabela14[[#This Row],[REGIÃO03-3%]]*0.06)+Tabela14[[#This Row],[REGIÃO03-3%]]</f>
        <v>15.438948923076923</v>
      </c>
      <c r="P140" s="52">
        <f>(Tabela14[[#This Row],[PRECO 3%]]*0.06)+Tabela14[[#This Row],[PRECO 3%]]</f>
        <v>14.295323076923077</v>
      </c>
      <c r="Q140" s="34">
        <f>(Tabela14[[#This Row],[REGIÃO04-3%]]*0.06)+Tabela14[[#This Row],[REGIÃO04-3%]]</f>
        <v>15.153042461538462</v>
      </c>
    </row>
    <row r="141" spans="1:17" x14ac:dyDescent="0.25">
      <c r="A141">
        <v>316</v>
      </c>
      <c r="B141" t="s">
        <v>16</v>
      </c>
      <c r="C141" t="s">
        <v>17</v>
      </c>
      <c r="D141" t="s">
        <v>4</v>
      </c>
      <c r="E141" s="1" t="s">
        <v>324</v>
      </c>
      <c r="F141">
        <f>VLOOKUP(Tabela14[[#This Row],[ID_COD]],Tabela2[],6,0)</f>
        <v>0</v>
      </c>
      <c r="G141" t="s">
        <v>296</v>
      </c>
      <c r="H141" s="46">
        <v>14.235384615384616</v>
      </c>
      <c r="I141" s="47">
        <f>Tabela14[[#This Row],[PRECO 3%]]+(Tabela14[[#This Row],[PRECO 3%]]*0.06)</f>
        <v>15.089507692307693</v>
      </c>
      <c r="J141" s="49">
        <f>(Tabela14[[#This Row],[PRECO 3%]]*0.1)+Tabela14[[#This Row],[PRECO 3%]]</f>
        <v>15.658923076923077</v>
      </c>
      <c r="K141" s="49">
        <f>(Tabela14[[#This Row],[REGIÃO01-3%]]*0.06)+Tabela14[[#This Row],[REGIÃO01-3%]]</f>
        <v>16.598458461538463</v>
      </c>
      <c r="L141" s="50">
        <f>(Tabela14[[#This Row],[PRECO 3%]]*0.05)+Tabela14[[#This Row],[PRECO 3%]]</f>
        <v>14.947153846153848</v>
      </c>
      <c r="M141" s="50">
        <f>(Tabela14[[#This Row],[REGIÃO02 - 3%]]*0.06)+Tabela14[[#This Row],[REGIÃO02 - 3%]]</f>
        <v>15.843983076923079</v>
      </c>
      <c r="N141" s="51">
        <f>(Tabela14[[#This Row],[PRECO 3%]]*0.08)+Tabela14[[#This Row],[PRECO 3%]]</f>
        <v>15.374215384615386</v>
      </c>
      <c r="O141" s="51">
        <f>(Tabela14[[#This Row],[REGIÃO03-3%]]*0.06)+Tabela14[[#This Row],[REGIÃO03-3%]]</f>
        <v>16.296668307692308</v>
      </c>
      <c r="P141" s="52">
        <f>(Tabela14[[#This Row],[PRECO 3%]]*0.06)+Tabela14[[#This Row],[PRECO 3%]]</f>
        <v>15.089507692307693</v>
      </c>
      <c r="Q141" s="34">
        <f>(Tabela14[[#This Row],[REGIÃO04-3%]]*0.06)+Tabela14[[#This Row],[REGIÃO04-3%]]</f>
        <v>15.994878153846155</v>
      </c>
    </row>
    <row r="142" spans="1:17" x14ac:dyDescent="0.25">
      <c r="A142">
        <v>317</v>
      </c>
      <c r="B142" t="s">
        <v>16</v>
      </c>
      <c r="C142" t="s">
        <v>17</v>
      </c>
      <c r="D142" t="s">
        <v>4</v>
      </c>
      <c r="E142" s="1" t="s">
        <v>325</v>
      </c>
      <c r="F142">
        <f>VLOOKUP(Tabela14[[#This Row],[ID_COD]],Tabela2[],6,0)</f>
        <v>0</v>
      </c>
      <c r="G142" t="s">
        <v>280</v>
      </c>
      <c r="H142" s="46">
        <v>14.984615384615385</v>
      </c>
      <c r="I142" s="47">
        <f>Tabela14[[#This Row],[PRECO 3%]]+(Tabela14[[#This Row],[PRECO 3%]]*0.06)</f>
        <v>15.883692307692307</v>
      </c>
      <c r="J142" s="49">
        <f>(Tabela14[[#This Row],[PRECO 3%]]*0.1)+Tabela14[[#This Row],[PRECO 3%]]</f>
        <v>16.483076923076922</v>
      </c>
      <c r="K142" s="49">
        <f>(Tabela14[[#This Row],[REGIÃO01-3%]]*0.06)+Tabela14[[#This Row],[REGIÃO01-3%]]</f>
        <v>17.472061538461539</v>
      </c>
      <c r="L142" s="50">
        <f>(Tabela14[[#This Row],[PRECO 3%]]*0.05)+Tabela14[[#This Row],[PRECO 3%]]</f>
        <v>15.733846153846153</v>
      </c>
      <c r="M142" s="50">
        <f>(Tabela14[[#This Row],[REGIÃO02 - 3%]]*0.06)+Tabela14[[#This Row],[REGIÃO02 - 3%]]</f>
        <v>16.677876923076923</v>
      </c>
      <c r="N142" s="51">
        <f>(Tabela14[[#This Row],[PRECO 3%]]*0.08)+Tabela14[[#This Row],[PRECO 3%]]</f>
        <v>16.183384615384615</v>
      </c>
      <c r="O142" s="51">
        <f>(Tabela14[[#This Row],[REGIÃO03-3%]]*0.06)+Tabela14[[#This Row],[REGIÃO03-3%]]</f>
        <v>17.15438769230769</v>
      </c>
      <c r="P142" s="52">
        <f>(Tabela14[[#This Row],[PRECO 3%]]*0.06)+Tabela14[[#This Row],[PRECO 3%]]</f>
        <v>15.883692307692307</v>
      </c>
      <c r="Q142" s="34">
        <f>(Tabela14[[#This Row],[REGIÃO04-3%]]*0.06)+Tabela14[[#This Row],[REGIÃO04-3%]]</f>
        <v>16.836713846153845</v>
      </c>
    </row>
    <row r="143" spans="1:17" x14ac:dyDescent="0.25">
      <c r="A143">
        <v>318</v>
      </c>
      <c r="B143" t="s">
        <v>16</v>
      </c>
      <c r="C143" t="s">
        <v>17</v>
      </c>
      <c r="D143" t="s">
        <v>4</v>
      </c>
      <c r="E143" s="1" t="s">
        <v>326</v>
      </c>
      <c r="F143">
        <f>VLOOKUP(Tabela14[[#This Row],[ID_COD]],Tabela2[],6,0)</f>
        <v>0</v>
      </c>
      <c r="G143" t="s">
        <v>280</v>
      </c>
      <c r="H143" s="46">
        <v>15.733846153846155</v>
      </c>
      <c r="I143" s="47">
        <f>Tabela14[[#This Row],[PRECO 3%]]+(Tabela14[[#This Row],[PRECO 3%]]*0.06)</f>
        <v>16.677876923076923</v>
      </c>
      <c r="J143" s="49">
        <f>(Tabela14[[#This Row],[PRECO 3%]]*0.1)+Tabela14[[#This Row],[PRECO 3%]]</f>
        <v>17.30723076923077</v>
      </c>
      <c r="K143" s="49">
        <f>(Tabela14[[#This Row],[REGIÃO01-3%]]*0.06)+Tabela14[[#This Row],[REGIÃO01-3%]]</f>
        <v>18.345664615384617</v>
      </c>
      <c r="L143" s="50">
        <f>(Tabela14[[#This Row],[PRECO 3%]]*0.05)+Tabela14[[#This Row],[PRECO 3%]]</f>
        <v>16.520538461538465</v>
      </c>
      <c r="M143" s="50">
        <f>(Tabela14[[#This Row],[REGIÃO02 - 3%]]*0.06)+Tabela14[[#This Row],[REGIÃO02 - 3%]]</f>
        <v>17.511770769230772</v>
      </c>
      <c r="N143" s="51">
        <f>(Tabela14[[#This Row],[PRECO 3%]]*0.08)+Tabela14[[#This Row],[PRECO 3%]]</f>
        <v>16.992553846153847</v>
      </c>
      <c r="O143" s="51">
        <f>(Tabela14[[#This Row],[REGIÃO03-3%]]*0.06)+Tabela14[[#This Row],[REGIÃO03-3%]]</f>
        <v>18.012107076923076</v>
      </c>
      <c r="P143" s="52">
        <f>(Tabela14[[#This Row],[PRECO 3%]]*0.06)+Tabela14[[#This Row],[PRECO 3%]]</f>
        <v>16.677876923076923</v>
      </c>
      <c r="Q143" s="34">
        <f>(Tabela14[[#This Row],[REGIÃO04-3%]]*0.06)+Tabela14[[#This Row],[REGIÃO04-3%]]</f>
        <v>17.678549538461539</v>
      </c>
    </row>
    <row r="144" spans="1:17" x14ac:dyDescent="0.25">
      <c r="A144">
        <v>319</v>
      </c>
      <c r="B144" t="s">
        <v>16</v>
      </c>
      <c r="C144" t="s">
        <v>17</v>
      </c>
      <c r="D144" t="s">
        <v>4</v>
      </c>
      <c r="E144" s="1" t="s">
        <v>327</v>
      </c>
      <c r="F144">
        <f>VLOOKUP(Tabela14[[#This Row],[ID_COD]],Tabela2[],6,0)</f>
        <v>40</v>
      </c>
      <c r="G144" t="s">
        <v>298</v>
      </c>
      <c r="H144" s="46">
        <v>16.483076923076926</v>
      </c>
      <c r="I144" s="47">
        <f>Tabela14[[#This Row],[PRECO 3%]]+(Tabela14[[#This Row],[PRECO 3%]]*0.06)</f>
        <v>17.472061538461542</v>
      </c>
      <c r="J144" s="49">
        <f>(Tabela14[[#This Row],[PRECO 3%]]*0.1)+Tabela14[[#This Row],[PRECO 3%]]</f>
        <v>18.131384615384619</v>
      </c>
      <c r="K144" s="49">
        <f>(Tabela14[[#This Row],[REGIÃO01-3%]]*0.06)+Tabela14[[#This Row],[REGIÃO01-3%]]</f>
        <v>19.219267692307696</v>
      </c>
      <c r="L144" s="50">
        <f>(Tabela14[[#This Row],[PRECO 3%]]*0.05)+Tabela14[[#This Row],[PRECO 3%]]</f>
        <v>17.30723076923077</v>
      </c>
      <c r="M144" s="50">
        <f>(Tabela14[[#This Row],[REGIÃO02 - 3%]]*0.06)+Tabela14[[#This Row],[REGIÃO02 - 3%]]</f>
        <v>18.345664615384617</v>
      </c>
      <c r="N144" s="51">
        <f>(Tabela14[[#This Row],[PRECO 3%]]*0.08)+Tabela14[[#This Row],[PRECO 3%]]</f>
        <v>17.801723076923079</v>
      </c>
      <c r="O144" s="51">
        <f>(Tabela14[[#This Row],[REGIÃO03-3%]]*0.06)+Tabela14[[#This Row],[REGIÃO03-3%]]</f>
        <v>18.869826461538462</v>
      </c>
      <c r="P144" s="52">
        <f>(Tabela14[[#This Row],[PRECO 3%]]*0.06)+Tabela14[[#This Row],[PRECO 3%]]</f>
        <v>17.472061538461542</v>
      </c>
      <c r="Q144" s="34">
        <f>(Tabela14[[#This Row],[REGIÃO04-3%]]*0.06)+Tabela14[[#This Row],[REGIÃO04-3%]]</f>
        <v>18.520385230769236</v>
      </c>
    </row>
    <row r="145" spans="1:17" x14ac:dyDescent="0.25">
      <c r="A145">
        <v>320</v>
      </c>
      <c r="B145" t="s">
        <v>16</v>
      </c>
      <c r="C145" t="s">
        <v>17</v>
      </c>
      <c r="D145" t="s">
        <v>4</v>
      </c>
      <c r="E145" s="1" t="s">
        <v>328</v>
      </c>
      <c r="F145">
        <f>VLOOKUP(Tabela14[[#This Row],[ID_COD]],Tabela2[],6,0)</f>
        <v>32</v>
      </c>
      <c r="G145" t="s">
        <v>300</v>
      </c>
      <c r="H145" s="46">
        <v>17.232307692307696</v>
      </c>
      <c r="I145" s="47">
        <f>Tabela14[[#This Row],[PRECO 3%]]+(Tabela14[[#This Row],[PRECO 3%]]*0.06)</f>
        <v>18.266246153846158</v>
      </c>
      <c r="J145" s="49">
        <f>(Tabela14[[#This Row],[PRECO 3%]]*0.1)+Tabela14[[#This Row],[PRECO 3%]]</f>
        <v>18.955538461538467</v>
      </c>
      <c r="K145" s="49">
        <f>(Tabela14[[#This Row],[REGIÃO01-3%]]*0.06)+Tabela14[[#This Row],[REGIÃO01-3%]]</f>
        <v>20.092870769230775</v>
      </c>
      <c r="L145" s="50">
        <f>(Tabela14[[#This Row],[PRECO 3%]]*0.05)+Tabela14[[#This Row],[PRECO 3%]]</f>
        <v>18.09392307692308</v>
      </c>
      <c r="M145" s="50">
        <f>(Tabela14[[#This Row],[REGIÃO02 - 3%]]*0.06)+Tabela14[[#This Row],[REGIÃO02 - 3%]]</f>
        <v>19.179558461538463</v>
      </c>
      <c r="N145" s="51">
        <f>(Tabela14[[#This Row],[PRECO 3%]]*0.08)+Tabela14[[#This Row],[PRECO 3%]]</f>
        <v>18.610892307692311</v>
      </c>
      <c r="O145" s="51">
        <f>(Tabela14[[#This Row],[REGIÃO03-3%]]*0.06)+Tabela14[[#This Row],[REGIÃO03-3%]]</f>
        <v>19.727545846153848</v>
      </c>
      <c r="P145" s="52">
        <f>(Tabela14[[#This Row],[PRECO 3%]]*0.06)+Tabela14[[#This Row],[PRECO 3%]]</f>
        <v>18.266246153846158</v>
      </c>
      <c r="Q145" s="34">
        <f>(Tabela14[[#This Row],[REGIÃO04-3%]]*0.06)+Tabela14[[#This Row],[REGIÃO04-3%]]</f>
        <v>19.362220923076926</v>
      </c>
    </row>
    <row r="146" spans="1:17" x14ac:dyDescent="0.25">
      <c r="A146">
        <v>321</v>
      </c>
      <c r="B146" t="s">
        <v>19</v>
      </c>
      <c r="C146" t="s">
        <v>20</v>
      </c>
      <c r="D146" t="s">
        <v>4</v>
      </c>
      <c r="E146" s="1" t="s">
        <v>208</v>
      </c>
      <c r="F146">
        <f>VLOOKUP(Tabela14[[#This Row],[ID_COD]],Tabela2[],6,0)</f>
        <v>72</v>
      </c>
      <c r="G146" t="s">
        <v>301</v>
      </c>
      <c r="H146" s="46">
        <v>7.9</v>
      </c>
      <c r="I146" s="47">
        <f>Tabela14[[#This Row],[PRECO 3%]]+(Tabela14[[#This Row],[PRECO 3%]]*0.06)</f>
        <v>8.3740000000000006</v>
      </c>
      <c r="J146" s="49">
        <f>(Tabela14[[#This Row],[PRECO 3%]]*0.1)+Tabela14[[#This Row],[PRECO 3%]]</f>
        <v>8.6900000000000013</v>
      </c>
      <c r="K146" s="49">
        <f>(Tabela14[[#This Row],[REGIÃO01-3%]]*0.06)+Tabela14[[#This Row],[REGIÃO01-3%]]</f>
        <v>9.2114000000000011</v>
      </c>
      <c r="L146" s="50">
        <f>(Tabela14[[#This Row],[PRECO 3%]]*0.05)+Tabela14[[#This Row],[PRECO 3%]]</f>
        <v>8.2949999999999999</v>
      </c>
      <c r="M146" s="50">
        <f>(Tabela14[[#This Row],[REGIÃO02 - 3%]]*0.06)+Tabela14[[#This Row],[REGIÃO02 - 3%]]</f>
        <v>8.7927</v>
      </c>
      <c r="N146" s="51">
        <f>(Tabela14[[#This Row],[PRECO 3%]]*0.08)+Tabela14[[#This Row],[PRECO 3%]]</f>
        <v>8.532</v>
      </c>
      <c r="O146" s="51">
        <f>(Tabela14[[#This Row],[REGIÃO03-3%]]*0.06)+Tabela14[[#This Row],[REGIÃO03-3%]]</f>
        <v>9.04392</v>
      </c>
      <c r="P146" s="52">
        <f>(Tabela14[[#This Row],[PRECO 3%]]*0.06)+Tabela14[[#This Row],[PRECO 3%]]</f>
        <v>8.3740000000000006</v>
      </c>
      <c r="Q146" s="34">
        <f>(Tabela14[[#This Row],[REGIÃO04-3%]]*0.06)+Tabela14[[#This Row],[REGIÃO04-3%]]</f>
        <v>8.8764400000000006</v>
      </c>
    </row>
    <row r="147" spans="1:17" x14ac:dyDescent="0.25">
      <c r="A147">
        <v>322</v>
      </c>
      <c r="B147" t="s">
        <v>19</v>
      </c>
      <c r="C147" t="s">
        <v>20</v>
      </c>
      <c r="D147" t="s">
        <v>4</v>
      </c>
      <c r="E147" s="1" t="s">
        <v>224</v>
      </c>
      <c r="F147">
        <f>VLOOKUP(Tabela14[[#This Row],[ID_COD]],Tabela2[],6,0)</f>
        <v>72</v>
      </c>
      <c r="G147" t="s">
        <v>301</v>
      </c>
      <c r="H147" s="46">
        <v>8.69</v>
      </c>
      <c r="I147" s="47">
        <f>Tabela14[[#This Row],[PRECO 3%]]+(Tabela14[[#This Row],[PRECO 3%]]*0.06)</f>
        <v>9.2113999999999994</v>
      </c>
      <c r="J147" s="49">
        <f>(Tabela14[[#This Row],[PRECO 3%]]*0.1)+Tabela14[[#This Row],[PRECO 3%]]</f>
        <v>9.5589999999999993</v>
      </c>
      <c r="K147" s="49">
        <f>(Tabela14[[#This Row],[REGIÃO01-3%]]*0.06)+Tabela14[[#This Row],[REGIÃO01-3%]]</f>
        <v>10.132539999999999</v>
      </c>
      <c r="L147" s="50">
        <f>(Tabela14[[#This Row],[PRECO 3%]]*0.05)+Tabela14[[#This Row],[PRECO 3%]]</f>
        <v>9.1244999999999994</v>
      </c>
      <c r="M147" s="50">
        <f>(Tabela14[[#This Row],[REGIÃO02 - 3%]]*0.06)+Tabela14[[#This Row],[REGIÃO02 - 3%]]</f>
        <v>9.67197</v>
      </c>
      <c r="N147" s="51">
        <f>(Tabela14[[#This Row],[PRECO 3%]]*0.08)+Tabela14[[#This Row],[PRECO 3%]]</f>
        <v>9.3851999999999993</v>
      </c>
      <c r="O147" s="51">
        <f>(Tabela14[[#This Row],[REGIÃO03-3%]]*0.06)+Tabela14[[#This Row],[REGIÃO03-3%]]</f>
        <v>9.9483119999999996</v>
      </c>
      <c r="P147" s="52">
        <f>(Tabela14[[#This Row],[PRECO 3%]]*0.06)+Tabela14[[#This Row],[PRECO 3%]]</f>
        <v>9.2113999999999994</v>
      </c>
      <c r="Q147" s="34">
        <f>(Tabela14[[#This Row],[REGIÃO04-3%]]*0.06)+Tabela14[[#This Row],[REGIÃO04-3%]]</f>
        <v>9.7640839999999987</v>
      </c>
    </row>
    <row r="148" spans="1:17" x14ac:dyDescent="0.25">
      <c r="A148">
        <v>323</v>
      </c>
      <c r="B148" t="s">
        <v>19</v>
      </c>
      <c r="C148" t="s">
        <v>20</v>
      </c>
      <c r="D148" t="s">
        <v>4</v>
      </c>
      <c r="E148" s="1" t="s">
        <v>245</v>
      </c>
      <c r="F148">
        <f>VLOOKUP(Tabela14[[#This Row],[ID_COD]],Tabela2[],6,0)</f>
        <v>60</v>
      </c>
      <c r="G148" t="s">
        <v>301</v>
      </c>
      <c r="H148" s="46">
        <v>9.48</v>
      </c>
      <c r="I148" s="47">
        <f>Tabela14[[#This Row],[PRECO 3%]]+(Tabela14[[#This Row],[PRECO 3%]]*0.06)</f>
        <v>10.0488</v>
      </c>
      <c r="J148" s="49">
        <f>(Tabela14[[#This Row],[PRECO 3%]]*0.1)+Tabela14[[#This Row],[PRECO 3%]]</f>
        <v>10.428000000000001</v>
      </c>
      <c r="K148" s="49">
        <f>(Tabela14[[#This Row],[REGIÃO01-3%]]*0.06)+Tabela14[[#This Row],[REGIÃO01-3%]]</f>
        <v>11.05368</v>
      </c>
      <c r="L148" s="50">
        <f>(Tabela14[[#This Row],[PRECO 3%]]*0.05)+Tabela14[[#This Row],[PRECO 3%]]</f>
        <v>9.9540000000000006</v>
      </c>
      <c r="M148" s="50">
        <f>(Tabela14[[#This Row],[REGIÃO02 - 3%]]*0.06)+Tabela14[[#This Row],[REGIÃO02 - 3%]]</f>
        <v>10.55124</v>
      </c>
      <c r="N148" s="51">
        <f>(Tabela14[[#This Row],[PRECO 3%]]*0.08)+Tabela14[[#This Row],[PRECO 3%]]</f>
        <v>10.2384</v>
      </c>
      <c r="O148" s="51">
        <f>(Tabela14[[#This Row],[REGIÃO03-3%]]*0.06)+Tabela14[[#This Row],[REGIÃO03-3%]]</f>
        <v>10.852704000000001</v>
      </c>
      <c r="P148" s="52">
        <f>(Tabela14[[#This Row],[PRECO 3%]]*0.06)+Tabela14[[#This Row],[PRECO 3%]]</f>
        <v>10.0488</v>
      </c>
      <c r="Q148" s="34">
        <f>(Tabela14[[#This Row],[REGIÃO04-3%]]*0.06)+Tabela14[[#This Row],[REGIÃO04-3%]]</f>
        <v>10.651728</v>
      </c>
    </row>
    <row r="149" spans="1:17" x14ac:dyDescent="0.25">
      <c r="A149">
        <v>324</v>
      </c>
      <c r="B149" t="s">
        <v>19</v>
      </c>
      <c r="C149" t="s">
        <v>20</v>
      </c>
      <c r="D149" t="s">
        <v>4</v>
      </c>
      <c r="E149" s="1" t="s">
        <v>190</v>
      </c>
      <c r="F149">
        <f>VLOOKUP(Tabela14[[#This Row],[ID_COD]],Tabela2[],6,0)</f>
        <v>60</v>
      </c>
      <c r="G149" t="s">
        <v>301</v>
      </c>
      <c r="H149" s="46">
        <v>10.27</v>
      </c>
      <c r="I149" s="47">
        <f>Tabela14[[#This Row],[PRECO 3%]]+(Tabela14[[#This Row],[PRECO 3%]]*0.06)</f>
        <v>10.886199999999999</v>
      </c>
      <c r="J149" s="49">
        <f>(Tabela14[[#This Row],[PRECO 3%]]*0.1)+Tabela14[[#This Row],[PRECO 3%]]</f>
        <v>11.296999999999999</v>
      </c>
      <c r="K149" s="49">
        <f>(Tabela14[[#This Row],[REGIÃO01-3%]]*0.06)+Tabela14[[#This Row],[REGIÃO01-3%]]</f>
        <v>11.974819999999999</v>
      </c>
      <c r="L149" s="50">
        <f>(Tabela14[[#This Row],[PRECO 3%]]*0.05)+Tabela14[[#This Row],[PRECO 3%]]</f>
        <v>10.7835</v>
      </c>
      <c r="M149" s="50">
        <f>(Tabela14[[#This Row],[REGIÃO02 - 3%]]*0.06)+Tabela14[[#This Row],[REGIÃO02 - 3%]]</f>
        <v>11.43051</v>
      </c>
      <c r="N149" s="51">
        <f>(Tabela14[[#This Row],[PRECO 3%]]*0.08)+Tabela14[[#This Row],[PRECO 3%]]</f>
        <v>11.0916</v>
      </c>
      <c r="O149" s="51">
        <f>(Tabela14[[#This Row],[REGIÃO03-3%]]*0.06)+Tabela14[[#This Row],[REGIÃO03-3%]]</f>
        <v>11.757095999999999</v>
      </c>
      <c r="P149" s="52">
        <f>(Tabela14[[#This Row],[PRECO 3%]]*0.06)+Tabela14[[#This Row],[PRECO 3%]]</f>
        <v>10.886199999999999</v>
      </c>
      <c r="Q149" s="34">
        <f>(Tabela14[[#This Row],[REGIÃO04-3%]]*0.06)+Tabela14[[#This Row],[REGIÃO04-3%]]</f>
        <v>11.539371999999998</v>
      </c>
    </row>
    <row r="150" spans="1:17" x14ac:dyDescent="0.25">
      <c r="A150">
        <v>325</v>
      </c>
      <c r="B150" t="s">
        <v>19</v>
      </c>
      <c r="C150" t="s">
        <v>20</v>
      </c>
      <c r="D150" t="s">
        <v>4</v>
      </c>
      <c r="E150" s="1" t="s">
        <v>214</v>
      </c>
      <c r="F150">
        <v>50</v>
      </c>
      <c r="G150" t="s">
        <v>301</v>
      </c>
      <c r="H150" s="46">
        <v>11.06</v>
      </c>
      <c r="I150" s="47">
        <f>Tabela14[[#This Row],[PRECO 3%]]+(Tabela14[[#This Row],[PRECO 3%]]*0.06)</f>
        <v>11.723600000000001</v>
      </c>
      <c r="J150" s="49">
        <f>(Tabela14[[#This Row],[PRECO 3%]]*0.1)+Tabela14[[#This Row],[PRECO 3%]]</f>
        <v>12.166</v>
      </c>
      <c r="K150" s="49">
        <f>(Tabela14[[#This Row],[REGIÃO01-3%]]*0.06)+Tabela14[[#This Row],[REGIÃO01-3%]]</f>
        <v>12.895960000000001</v>
      </c>
      <c r="L150" s="50">
        <f>(Tabela14[[#This Row],[PRECO 3%]]*0.05)+Tabela14[[#This Row],[PRECO 3%]]</f>
        <v>11.613000000000001</v>
      </c>
      <c r="M150" s="50">
        <f>(Tabela14[[#This Row],[REGIÃO02 - 3%]]*0.06)+Tabela14[[#This Row],[REGIÃO02 - 3%]]</f>
        <v>12.309780000000002</v>
      </c>
      <c r="N150" s="51">
        <f>(Tabela14[[#This Row],[PRECO 3%]]*0.08)+Tabela14[[#This Row],[PRECO 3%]]</f>
        <v>11.944800000000001</v>
      </c>
      <c r="O150" s="51">
        <f>(Tabela14[[#This Row],[REGIÃO03-3%]]*0.06)+Tabela14[[#This Row],[REGIÃO03-3%]]</f>
        <v>12.661488</v>
      </c>
      <c r="P150" s="52">
        <f>(Tabela14[[#This Row],[PRECO 3%]]*0.06)+Tabela14[[#This Row],[PRECO 3%]]</f>
        <v>11.723600000000001</v>
      </c>
      <c r="Q150" s="34">
        <f>(Tabela14[[#This Row],[REGIÃO04-3%]]*0.06)+Tabela14[[#This Row],[REGIÃO04-3%]]</f>
        <v>12.427016000000002</v>
      </c>
    </row>
    <row r="151" spans="1:17" x14ac:dyDescent="0.25">
      <c r="A151">
        <v>326</v>
      </c>
      <c r="B151" t="s">
        <v>19</v>
      </c>
      <c r="C151" t="s">
        <v>20</v>
      </c>
      <c r="D151" t="s">
        <v>4</v>
      </c>
      <c r="E151" s="1" t="s">
        <v>240</v>
      </c>
      <c r="F151">
        <f>VLOOKUP(Tabela14[[#This Row],[ID_COD]],Tabela2[],6,0)</f>
        <v>50</v>
      </c>
      <c r="G151" t="s">
        <v>301</v>
      </c>
      <c r="H151" s="46">
        <v>11.85</v>
      </c>
      <c r="I151" s="47">
        <f>Tabela14[[#This Row],[PRECO 3%]]+(Tabela14[[#This Row],[PRECO 3%]]*0.06)</f>
        <v>12.561</v>
      </c>
      <c r="J151" s="49">
        <f>(Tabela14[[#This Row],[PRECO 3%]]*0.1)+Tabela14[[#This Row],[PRECO 3%]]</f>
        <v>13.035</v>
      </c>
      <c r="K151" s="49">
        <f>(Tabela14[[#This Row],[REGIÃO01-3%]]*0.06)+Tabela14[[#This Row],[REGIÃO01-3%]]</f>
        <v>13.8171</v>
      </c>
      <c r="L151" s="50">
        <f>(Tabela14[[#This Row],[PRECO 3%]]*0.05)+Tabela14[[#This Row],[PRECO 3%]]</f>
        <v>12.442499999999999</v>
      </c>
      <c r="M151" s="50">
        <f>(Tabela14[[#This Row],[REGIÃO02 - 3%]]*0.06)+Tabela14[[#This Row],[REGIÃO02 - 3%]]</f>
        <v>13.189049999999998</v>
      </c>
      <c r="N151" s="51">
        <f>(Tabela14[[#This Row],[PRECO 3%]]*0.08)+Tabela14[[#This Row],[PRECO 3%]]</f>
        <v>12.798</v>
      </c>
      <c r="O151" s="51">
        <f>(Tabela14[[#This Row],[REGIÃO03-3%]]*0.06)+Tabela14[[#This Row],[REGIÃO03-3%]]</f>
        <v>13.56588</v>
      </c>
      <c r="P151" s="52">
        <f>(Tabela14[[#This Row],[PRECO 3%]]*0.06)+Tabela14[[#This Row],[PRECO 3%]]</f>
        <v>12.561</v>
      </c>
      <c r="Q151" s="34">
        <f>(Tabela14[[#This Row],[REGIÃO04-3%]]*0.06)+Tabela14[[#This Row],[REGIÃO04-3%]]</f>
        <v>13.31466</v>
      </c>
    </row>
    <row r="152" spans="1:17" x14ac:dyDescent="0.25">
      <c r="A152">
        <v>327</v>
      </c>
      <c r="B152" t="s">
        <v>19</v>
      </c>
      <c r="C152" t="s">
        <v>20</v>
      </c>
      <c r="D152" t="s">
        <v>4</v>
      </c>
      <c r="E152" s="1" t="s">
        <v>138</v>
      </c>
      <c r="F152">
        <f>VLOOKUP(Tabela14[[#This Row],[ID_COD]],Tabela2[],6,0)</f>
        <v>50</v>
      </c>
      <c r="G152" t="s">
        <v>301</v>
      </c>
      <c r="H152" s="46">
        <v>12.64</v>
      </c>
      <c r="I152" s="47">
        <f>Tabela14[[#This Row],[PRECO 3%]]+(Tabela14[[#This Row],[PRECO 3%]]*0.06)</f>
        <v>13.398400000000001</v>
      </c>
      <c r="J152" s="49">
        <f>(Tabela14[[#This Row],[PRECO 3%]]*0.1)+Tabela14[[#This Row],[PRECO 3%]]</f>
        <v>13.904</v>
      </c>
      <c r="K152" s="49">
        <f>(Tabela14[[#This Row],[REGIÃO01-3%]]*0.06)+Tabela14[[#This Row],[REGIÃO01-3%]]</f>
        <v>14.738239999999999</v>
      </c>
      <c r="L152" s="50">
        <f>(Tabela14[[#This Row],[PRECO 3%]]*0.05)+Tabela14[[#This Row],[PRECO 3%]]</f>
        <v>13.272</v>
      </c>
      <c r="M152" s="50">
        <f>(Tabela14[[#This Row],[REGIÃO02 - 3%]]*0.06)+Tabela14[[#This Row],[REGIÃO02 - 3%]]</f>
        <v>14.06832</v>
      </c>
      <c r="N152" s="51">
        <f>(Tabela14[[#This Row],[PRECO 3%]]*0.08)+Tabela14[[#This Row],[PRECO 3%]]</f>
        <v>13.651200000000001</v>
      </c>
      <c r="O152" s="51">
        <f>(Tabela14[[#This Row],[REGIÃO03-3%]]*0.06)+Tabela14[[#This Row],[REGIÃO03-3%]]</f>
        <v>14.470272000000001</v>
      </c>
      <c r="P152" s="52">
        <f>(Tabela14[[#This Row],[PRECO 3%]]*0.06)+Tabela14[[#This Row],[PRECO 3%]]</f>
        <v>13.398400000000001</v>
      </c>
      <c r="Q152" s="34">
        <f>(Tabela14[[#This Row],[REGIÃO04-3%]]*0.06)+Tabela14[[#This Row],[REGIÃO04-3%]]</f>
        <v>14.202304</v>
      </c>
    </row>
    <row r="153" spans="1:17" x14ac:dyDescent="0.25">
      <c r="A153">
        <v>328</v>
      </c>
      <c r="B153" t="s">
        <v>19</v>
      </c>
      <c r="C153" t="s">
        <v>20</v>
      </c>
      <c r="D153" t="s">
        <v>4</v>
      </c>
      <c r="E153" s="1" t="s">
        <v>166</v>
      </c>
      <c r="F153">
        <f>VLOOKUP(Tabela14[[#This Row],[ID_COD]],Tabela2[],6,0)</f>
        <v>50</v>
      </c>
      <c r="G153" t="s">
        <v>313</v>
      </c>
      <c r="H153" s="46">
        <v>13.43</v>
      </c>
      <c r="I153" s="47">
        <f>Tabela14[[#This Row],[PRECO 3%]]+(Tabela14[[#This Row],[PRECO 3%]]*0.06)</f>
        <v>14.235799999999999</v>
      </c>
      <c r="J153" s="49">
        <f>(Tabela14[[#This Row],[PRECO 3%]]*0.1)+Tabela14[[#This Row],[PRECO 3%]]</f>
        <v>14.773</v>
      </c>
      <c r="K153" s="49">
        <f>(Tabela14[[#This Row],[REGIÃO01-3%]]*0.06)+Tabela14[[#This Row],[REGIÃO01-3%]]</f>
        <v>15.659379999999999</v>
      </c>
      <c r="L153" s="50">
        <f>(Tabela14[[#This Row],[PRECO 3%]]*0.05)+Tabela14[[#This Row],[PRECO 3%]]</f>
        <v>14.1015</v>
      </c>
      <c r="M153" s="50">
        <f>(Tabela14[[#This Row],[REGIÃO02 - 3%]]*0.06)+Tabela14[[#This Row],[REGIÃO02 - 3%]]</f>
        <v>14.94759</v>
      </c>
      <c r="N153" s="51">
        <f>(Tabela14[[#This Row],[PRECO 3%]]*0.08)+Tabela14[[#This Row],[PRECO 3%]]</f>
        <v>14.5044</v>
      </c>
      <c r="O153" s="51">
        <f>(Tabela14[[#This Row],[REGIÃO03-3%]]*0.06)+Tabela14[[#This Row],[REGIÃO03-3%]]</f>
        <v>15.374664000000001</v>
      </c>
      <c r="P153" s="52">
        <f>(Tabela14[[#This Row],[PRECO 3%]]*0.06)+Tabela14[[#This Row],[PRECO 3%]]</f>
        <v>14.235799999999999</v>
      </c>
      <c r="Q153" s="34">
        <f>(Tabela14[[#This Row],[REGIÃO04-3%]]*0.06)+Tabela14[[#This Row],[REGIÃO04-3%]]</f>
        <v>15.089948</v>
      </c>
    </row>
    <row r="154" spans="1:17" x14ac:dyDescent="0.25">
      <c r="A154">
        <v>329</v>
      </c>
      <c r="B154" t="s">
        <v>19</v>
      </c>
      <c r="C154" t="s">
        <v>20</v>
      </c>
      <c r="D154" t="s">
        <v>4</v>
      </c>
      <c r="E154" s="1" t="s">
        <v>323</v>
      </c>
      <c r="F154">
        <f>VLOOKUP(Tabela14[[#This Row],[ID_COD]],Tabela2[],6,0)</f>
        <v>50</v>
      </c>
      <c r="G154" t="s">
        <v>315</v>
      </c>
      <c r="H154" s="46">
        <v>14.22</v>
      </c>
      <c r="I154" s="47">
        <f>Tabela14[[#This Row],[PRECO 3%]]+(Tabela14[[#This Row],[PRECO 3%]]*0.06)</f>
        <v>15.0732</v>
      </c>
      <c r="J154" s="49">
        <f>(Tabela14[[#This Row],[PRECO 3%]]*0.1)+Tabela14[[#This Row],[PRECO 3%]]</f>
        <v>15.642000000000001</v>
      </c>
      <c r="K154" s="49">
        <f>(Tabela14[[#This Row],[REGIÃO01-3%]]*0.06)+Tabela14[[#This Row],[REGIÃO01-3%]]</f>
        <v>16.58052</v>
      </c>
      <c r="L154" s="50">
        <f>(Tabela14[[#This Row],[PRECO 3%]]*0.05)+Tabela14[[#This Row],[PRECO 3%]]</f>
        <v>14.931000000000001</v>
      </c>
      <c r="M154" s="50">
        <f>(Tabela14[[#This Row],[REGIÃO02 - 3%]]*0.06)+Tabela14[[#This Row],[REGIÃO02 - 3%]]</f>
        <v>15.826860000000002</v>
      </c>
      <c r="N154" s="51">
        <f>(Tabela14[[#This Row],[PRECO 3%]]*0.08)+Tabela14[[#This Row],[PRECO 3%]]</f>
        <v>15.357600000000001</v>
      </c>
      <c r="O154" s="51">
        <f>(Tabela14[[#This Row],[REGIÃO03-3%]]*0.06)+Tabela14[[#This Row],[REGIÃO03-3%]]</f>
        <v>16.279056000000001</v>
      </c>
      <c r="P154" s="52">
        <f>(Tabela14[[#This Row],[PRECO 3%]]*0.06)+Tabela14[[#This Row],[PRECO 3%]]</f>
        <v>15.0732</v>
      </c>
      <c r="Q154" s="34">
        <f>(Tabela14[[#This Row],[REGIÃO04-3%]]*0.06)+Tabela14[[#This Row],[REGIÃO04-3%]]</f>
        <v>15.977592</v>
      </c>
    </row>
    <row r="155" spans="1:17" x14ac:dyDescent="0.25">
      <c r="A155">
        <v>330</v>
      </c>
      <c r="B155" t="s">
        <v>19</v>
      </c>
      <c r="C155" t="s">
        <v>20</v>
      </c>
      <c r="D155" t="s">
        <v>4</v>
      </c>
      <c r="E155" s="1" t="s">
        <v>324</v>
      </c>
      <c r="F155">
        <f>VLOOKUP(Tabela14[[#This Row],[ID_COD]],Tabela2[],6,0)</f>
        <v>90</v>
      </c>
      <c r="G155" t="s">
        <v>317</v>
      </c>
      <c r="H155" s="46">
        <v>15.01</v>
      </c>
      <c r="I155" s="47">
        <f>Tabela14[[#This Row],[PRECO 3%]]+(Tabela14[[#This Row],[PRECO 3%]]*0.06)</f>
        <v>15.910600000000001</v>
      </c>
      <c r="J155" s="49">
        <f>(Tabela14[[#This Row],[PRECO 3%]]*0.1)+Tabela14[[#This Row],[PRECO 3%]]</f>
        <v>16.510999999999999</v>
      </c>
      <c r="K155" s="49">
        <f>(Tabela14[[#This Row],[REGIÃO01-3%]]*0.06)+Tabela14[[#This Row],[REGIÃO01-3%]]</f>
        <v>17.501659999999998</v>
      </c>
      <c r="L155" s="50">
        <f>(Tabela14[[#This Row],[PRECO 3%]]*0.05)+Tabela14[[#This Row],[PRECO 3%]]</f>
        <v>15.7605</v>
      </c>
      <c r="M155" s="50">
        <f>(Tabela14[[#This Row],[REGIÃO02 - 3%]]*0.06)+Tabela14[[#This Row],[REGIÃO02 - 3%]]</f>
        <v>16.706130000000002</v>
      </c>
      <c r="N155" s="51">
        <f>(Tabela14[[#This Row],[PRECO 3%]]*0.08)+Tabela14[[#This Row],[PRECO 3%]]</f>
        <v>16.210799999999999</v>
      </c>
      <c r="O155" s="51">
        <f>(Tabela14[[#This Row],[REGIÃO03-3%]]*0.06)+Tabela14[[#This Row],[REGIÃO03-3%]]</f>
        <v>17.183447999999999</v>
      </c>
      <c r="P155" s="52">
        <f>(Tabela14[[#This Row],[PRECO 3%]]*0.06)+Tabela14[[#This Row],[PRECO 3%]]</f>
        <v>15.910600000000001</v>
      </c>
      <c r="Q155" s="34">
        <f>(Tabela14[[#This Row],[REGIÃO04-3%]]*0.06)+Tabela14[[#This Row],[REGIÃO04-3%]]</f>
        <v>16.865235999999999</v>
      </c>
    </row>
    <row r="156" spans="1:17" x14ac:dyDescent="0.25">
      <c r="A156">
        <v>331</v>
      </c>
      <c r="B156" t="s">
        <v>19</v>
      </c>
      <c r="C156" t="s">
        <v>20</v>
      </c>
      <c r="D156" t="s">
        <v>4</v>
      </c>
      <c r="E156" s="1" t="s">
        <v>325</v>
      </c>
      <c r="F156">
        <f>VLOOKUP(Tabela14[[#This Row],[ID_COD]],Tabela2[],6,0)</f>
        <v>0</v>
      </c>
      <c r="G156" t="s">
        <v>318</v>
      </c>
      <c r="H156" s="46">
        <v>15.8</v>
      </c>
      <c r="I156" s="47">
        <f>Tabela14[[#This Row],[PRECO 3%]]+(Tabela14[[#This Row],[PRECO 3%]]*0.06)</f>
        <v>16.748000000000001</v>
      </c>
      <c r="J156" s="49">
        <f>(Tabela14[[#This Row],[PRECO 3%]]*0.1)+Tabela14[[#This Row],[PRECO 3%]]</f>
        <v>17.380000000000003</v>
      </c>
      <c r="K156" s="49">
        <f>(Tabela14[[#This Row],[REGIÃO01-3%]]*0.06)+Tabela14[[#This Row],[REGIÃO01-3%]]</f>
        <v>18.422800000000002</v>
      </c>
      <c r="L156" s="50">
        <f>(Tabela14[[#This Row],[PRECO 3%]]*0.05)+Tabela14[[#This Row],[PRECO 3%]]</f>
        <v>16.59</v>
      </c>
      <c r="M156" s="50">
        <f>(Tabela14[[#This Row],[REGIÃO02 - 3%]]*0.06)+Tabela14[[#This Row],[REGIÃO02 - 3%]]</f>
        <v>17.5854</v>
      </c>
      <c r="N156" s="51">
        <f>(Tabela14[[#This Row],[PRECO 3%]]*0.08)+Tabela14[[#This Row],[PRECO 3%]]</f>
        <v>17.064</v>
      </c>
      <c r="O156" s="51">
        <f>(Tabela14[[#This Row],[REGIÃO03-3%]]*0.06)+Tabela14[[#This Row],[REGIÃO03-3%]]</f>
        <v>18.08784</v>
      </c>
      <c r="P156" s="52">
        <f>(Tabela14[[#This Row],[PRECO 3%]]*0.06)+Tabela14[[#This Row],[PRECO 3%]]</f>
        <v>16.748000000000001</v>
      </c>
      <c r="Q156" s="34">
        <f>(Tabela14[[#This Row],[REGIÃO04-3%]]*0.06)+Tabela14[[#This Row],[REGIÃO04-3%]]</f>
        <v>17.752880000000001</v>
      </c>
    </row>
    <row r="157" spans="1:17" x14ac:dyDescent="0.25">
      <c r="A157">
        <v>332</v>
      </c>
      <c r="B157" t="s">
        <v>19</v>
      </c>
      <c r="C157" t="s">
        <v>20</v>
      </c>
      <c r="D157" t="s">
        <v>4</v>
      </c>
      <c r="E157" s="1" t="s">
        <v>326</v>
      </c>
      <c r="F157">
        <f>VLOOKUP(Tabela14[[#This Row],[ID_COD]],Tabela2[],6,0)</f>
        <v>40</v>
      </c>
      <c r="G157" t="s">
        <v>319</v>
      </c>
      <c r="H157" s="46">
        <v>16.59</v>
      </c>
      <c r="I157" s="47">
        <f>Tabela14[[#This Row],[PRECO 3%]]+(Tabela14[[#This Row],[PRECO 3%]]*0.06)</f>
        <v>17.5854</v>
      </c>
      <c r="J157" s="49">
        <f>(Tabela14[[#This Row],[PRECO 3%]]*0.1)+Tabela14[[#This Row],[PRECO 3%]]</f>
        <v>18.248999999999999</v>
      </c>
      <c r="K157" s="49">
        <f>(Tabela14[[#This Row],[REGIÃO01-3%]]*0.06)+Tabela14[[#This Row],[REGIÃO01-3%]]</f>
        <v>19.34394</v>
      </c>
      <c r="L157" s="50">
        <f>(Tabela14[[#This Row],[PRECO 3%]]*0.05)+Tabela14[[#This Row],[PRECO 3%]]</f>
        <v>17.419499999999999</v>
      </c>
      <c r="M157" s="50">
        <f>(Tabela14[[#This Row],[REGIÃO02 - 3%]]*0.06)+Tabela14[[#This Row],[REGIÃO02 - 3%]]</f>
        <v>18.464669999999998</v>
      </c>
      <c r="N157" s="51">
        <f>(Tabela14[[#This Row],[PRECO 3%]]*0.08)+Tabela14[[#This Row],[PRECO 3%]]</f>
        <v>17.917200000000001</v>
      </c>
      <c r="O157" s="51">
        <f>(Tabela14[[#This Row],[REGIÃO03-3%]]*0.06)+Tabela14[[#This Row],[REGIÃO03-3%]]</f>
        <v>18.992232000000001</v>
      </c>
      <c r="P157" s="52">
        <f>(Tabela14[[#This Row],[PRECO 3%]]*0.06)+Tabela14[[#This Row],[PRECO 3%]]</f>
        <v>17.5854</v>
      </c>
      <c r="Q157" s="34">
        <f>(Tabela14[[#This Row],[REGIÃO04-3%]]*0.06)+Tabela14[[#This Row],[REGIÃO04-3%]]</f>
        <v>18.640523999999999</v>
      </c>
    </row>
    <row r="158" spans="1:17" x14ac:dyDescent="0.25">
      <c r="A158">
        <v>333</v>
      </c>
      <c r="B158" t="s">
        <v>19</v>
      </c>
      <c r="C158" t="s">
        <v>20</v>
      </c>
      <c r="D158" t="s">
        <v>4</v>
      </c>
      <c r="E158" s="1" t="s">
        <v>327</v>
      </c>
      <c r="F158">
        <f>VLOOKUP(Tabela14[[#This Row],[ID_COD]],Tabela2[],6,0)</f>
        <v>50</v>
      </c>
      <c r="G158" t="s">
        <v>320</v>
      </c>
      <c r="H158" s="46">
        <v>17.38</v>
      </c>
      <c r="I158" s="47">
        <f>Tabela14[[#This Row],[PRECO 3%]]+(Tabela14[[#This Row],[PRECO 3%]]*0.06)</f>
        <v>18.422799999999999</v>
      </c>
      <c r="J158" s="49">
        <f>(Tabela14[[#This Row],[PRECO 3%]]*0.1)+Tabela14[[#This Row],[PRECO 3%]]</f>
        <v>19.117999999999999</v>
      </c>
      <c r="K158" s="49">
        <f>(Tabela14[[#This Row],[REGIÃO01-3%]]*0.06)+Tabela14[[#This Row],[REGIÃO01-3%]]</f>
        <v>20.265079999999998</v>
      </c>
      <c r="L158" s="50">
        <f>(Tabela14[[#This Row],[PRECO 3%]]*0.05)+Tabela14[[#This Row],[PRECO 3%]]</f>
        <v>18.248999999999999</v>
      </c>
      <c r="M158" s="50">
        <f>(Tabela14[[#This Row],[REGIÃO02 - 3%]]*0.06)+Tabela14[[#This Row],[REGIÃO02 - 3%]]</f>
        <v>19.34394</v>
      </c>
      <c r="N158" s="51">
        <f>(Tabela14[[#This Row],[PRECO 3%]]*0.08)+Tabela14[[#This Row],[PRECO 3%]]</f>
        <v>18.770399999999999</v>
      </c>
      <c r="O158" s="51">
        <f>(Tabela14[[#This Row],[REGIÃO03-3%]]*0.06)+Tabela14[[#This Row],[REGIÃO03-3%]]</f>
        <v>19.896623999999999</v>
      </c>
      <c r="P158" s="52">
        <f>(Tabela14[[#This Row],[PRECO 3%]]*0.06)+Tabela14[[#This Row],[PRECO 3%]]</f>
        <v>18.422799999999999</v>
      </c>
      <c r="Q158" s="34">
        <f>(Tabela14[[#This Row],[REGIÃO04-3%]]*0.06)+Tabela14[[#This Row],[REGIÃO04-3%]]</f>
        <v>19.528167999999997</v>
      </c>
    </row>
    <row r="159" spans="1:17" x14ac:dyDescent="0.25">
      <c r="A159">
        <v>334</v>
      </c>
      <c r="B159" t="s">
        <v>19</v>
      </c>
      <c r="C159" t="s">
        <v>20</v>
      </c>
      <c r="D159" t="s">
        <v>4</v>
      </c>
      <c r="E159" s="1" t="s">
        <v>328</v>
      </c>
      <c r="F159">
        <f>VLOOKUP(Tabela14[[#This Row],[ID_COD]],Tabela2[],6,0)</f>
        <v>0</v>
      </c>
      <c r="G159" t="s">
        <v>301</v>
      </c>
      <c r="H159" s="46">
        <v>18.170000000000002</v>
      </c>
      <c r="I159" s="47">
        <f>Tabela14[[#This Row],[PRECO 3%]]+(Tabela14[[#This Row],[PRECO 3%]]*0.06)</f>
        <v>19.260200000000001</v>
      </c>
      <c r="J159" s="49">
        <f>(Tabela14[[#This Row],[PRECO 3%]]*0.1)+Tabela14[[#This Row],[PRECO 3%]]</f>
        <v>19.987000000000002</v>
      </c>
      <c r="K159" s="49">
        <f>(Tabela14[[#This Row],[REGIÃO01-3%]]*0.06)+Tabela14[[#This Row],[REGIÃO01-3%]]</f>
        <v>21.186220000000002</v>
      </c>
      <c r="L159" s="50">
        <f>(Tabela14[[#This Row],[PRECO 3%]]*0.05)+Tabela14[[#This Row],[PRECO 3%]]</f>
        <v>19.078500000000002</v>
      </c>
      <c r="M159" s="50">
        <f>(Tabela14[[#This Row],[REGIÃO02 - 3%]]*0.06)+Tabela14[[#This Row],[REGIÃO02 - 3%]]</f>
        <v>20.223210000000002</v>
      </c>
      <c r="N159" s="51">
        <f>(Tabela14[[#This Row],[PRECO 3%]]*0.08)+Tabela14[[#This Row],[PRECO 3%]]</f>
        <v>19.623600000000003</v>
      </c>
      <c r="O159" s="51">
        <f>(Tabela14[[#This Row],[REGIÃO03-3%]]*0.06)+Tabela14[[#This Row],[REGIÃO03-3%]]</f>
        <v>20.801016000000004</v>
      </c>
      <c r="P159" s="52">
        <f>(Tabela14[[#This Row],[PRECO 3%]]*0.06)+Tabela14[[#This Row],[PRECO 3%]]</f>
        <v>19.260200000000001</v>
      </c>
      <c r="Q159" s="34">
        <f>(Tabela14[[#This Row],[REGIÃO04-3%]]*0.06)+Tabela14[[#This Row],[REGIÃO04-3%]]</f>
        <v>20.415812000000003</v>
      </c>
    </row>
    <row r="160" spans="1:17" x14ac:dyDescent="0.25">
      <c r="A160">
        <v>335</v>
      </c>
      <c r="B160" t="s">
        <v>19</v>
      </c>
      <c r="C160" t="s">
        <v>20</v>
      </c>
      <c r="D160" t="s">
        <v>4</v>
      </c>
      <c r="E160" s="1" t="s">
        <v>329</v>
      </c>
      <c r="F160">
        <f>VLOOKUP(Tabela14[[#This Row],[ID_COD]],Tabela2[],6,0)</f>
        <v>40</v>
      </c>
      <c r="G160" t="s">
        <v>321</v>
      </c>
      <c r="H160" s="46">
        <v>18.96</v>
      </c>
      <c r="I160" s="47">
        <f>Tabela14[[#This Row],[PRECO 3%]]+(Tabela14[[#This Row],[PRECO 3%]]*0.06)</f>
        <v>20.0976</v>
      </c>
      <c r="J160" s="49">
        <f>(Tabela14[[#This Row],[PRECO 3%]]*0.1)+Tabela14[[#This Row],[PRECO 3%]]</f>
        <v>20.856000000000002</v>
      </c>
      <c r="K160" s="49">
        <f>(Tabela14[[#This Row],[REGIÃO01-3%]]*0.06)+Tabela14[[#This Row],[REGIÃO01-3%]]</f>
        <v>22.10736</v>
      </c>
      <c r="L160" s="50">
        <f>(Tabela14[[#This Row],[PRECO 3%]]*0.05)+Tabela14[[#This Row],[PRECO 3%]]</f>
        <v>19.908000000000001</v>
      </c>
      <c r="M160" s="50">
        <f>(Tabela14[[#This Row],[REGIÃO02 - 3%]]*0.06)+Tabela14[[#This Row],[REGIÃO02 - 3%]]</f>
        <v>21.10248</v>
      </c>
      <c r="N160" s="51">
        <f>(Tabela14[[#This Row],[PRECO 3%]]*0.08)+Tabela14[[#This Row],[PRECO 3%]]</f>
        <v>20.476800000000001</v>
      </c>
      <c r="O160" s="51">
        <f>(Tabela14[[#This Row],[REGIÃO03-3%]]*0.06)+Tabela14[[#This Row],[REGIÃO03-3%]]</f>
        <v>21.705408000000002</v>
      </c>
      <c r="P160" s="52">
        <f>(Tabela14[[#This Row],[PRECO 3%]]*0.06)+Tabela14[[#This Row],[PRECO 3%]]</f>
        <v>20.0976</v>
      </c>
      <c r="Q160" s="34">
        <f>(Tabela14[[#This Row],[REGIÃO04-3%]]*0.06)+Tabela14[[#This Row],[REGIÃO04-3%]]</f>
        <v>21.303456000000001</v>
      </c>
    </row>
    <row r="161" spans="1:17" x14ac:dyDescent="0.25">
      <c r="A161">
        <v>336</v>
      </c>
      <c r="B161" t="s">
        <v>19</v>
      </c>
      <c r="C161" t="s">
        <v>20</v>
      </c>
      <c r="D161" t="s">
        <v>4</v>
      </c>
      <c r="E161" s="1" t="s">
        <v>330</v>
      </c>
      <c r="F161">
        <f>VLOOKUP(Tabela14[[#This Row],[ID_COD]],Tabela2[],6,0)</f>
        <v>40</v>
      </c>
      <c r="G161" t="s">
        <v>301</v>
      </c>
      <c r="H161" s="46">
        <v>19.75</v>
      </c>
      <c r="I161" s="47">
        <f>Tabela14[[#This Row],[PRECO 3%]]+(Tabela14[[#This Row],[PRECO 3%]]*0.06)</f>
        <v>20.934999999999999</v>
      </c>
      <c r="J161" s="49">
        <f>(Tabela14[[#This Row],[PRECO 3%]]*0.1)+Tabela14[[#This Row],[PRECO 3%]]</f>
        <v>21.725000000000001</v>
      </c>
      <c r="K161" s="49">
        <f>(Tabela14[[#This Row],[REGIÃO01-3%]]*0.06)+Tabela14[[#This Row],[REGIÃO01-3%]]</f>
        <v>23.028500000000001</v>
      </c>
      <c r="L161" s="50">
        <f>(Tabela14[[#This Row],[PRECO 3%]]*0.05)+Tabela14[[#This Row],[PRECO 3%]]</f>
        <v>20.737500000000001</v>
      </c>
      <c r="M161" s="50">
        <f>(Tabela14[[#This Row],[REGIÃO02 - 3%]]*0.06)+Tabela14[[#This Row],[REGIÃO02 - 3%]]</f>
        <v>21.981750000000002</v>
      </c>
      <c r="N161" s="51">
        <f>(Tabela14[[#This Row],[PRECO 3%]]*0.08)+Tabela14[[#This Row],[PRECO 3%]]</f>
        <v>21.33</v>
      </c>
      <c r="O161" s="51">
        <f>(Tabela14[[#This Row],[REGIÃO03-3%]]*0.06)+Tabela14[[#This Row],[REGIÃO03-3%]]</f>
        <v>22.6098</v>
      </c>
      <c r="P161" s="52">
        <f>(Tabela14[[#This Row],[PRECO 3%]]*0.06)+Tabela14[[#This Row],[PRECO 3%]]</f>
        <v>20.934999999999999</v>
      </c>
      <c r="Q161" s="34">
        <f>(Tabela14[[#This Row],[REGIÃO04-3%]]*0.06)+Tabela14[[#This Row],[REGIÃO04-3%]]</f>
        <v>22.191099999999999</v>
      </c>
    </row>
    <row r="162" spans="1:17" x14ac:dyDescent="0.25">
      <c r="A162">
        <v>337</v>
      </c>
      <c r="B162" t="s">
        <v>19</v>
      </c>
      <c r="C162" t="s">
        <v>20</v>
      </c>
      <c r="D162" t="s">
        <v>4</v>
      </c>
      <c r="E162" s="1" t="s">
        <v>262</v>
      </c>
      <c r="F162">
        <f>VLOOKUP(Tabela14[[#This Row],[ID_COD]],Tabela2[],6,0)</f>
        <v>32</v>
      </c>
      <c r="G162" t="s">
        <v>301</v>
      </c>
      <c r="H162" s="46">
        <v>20.54</v>
      </c>
      <c r="I162" s="47">
        <f>Tabela14[[#This Row],[PRECO 3%]]+(Tabela14[[#This Row],[PRECO 3%]]*0.06)</f>
        <v>21.772399999999998</v>
      </c>
      <c r="J162" s="49">
        <f>(Tabela14[[#This Row],[PRECO 3%]]*0.1)+Tabela14[[#This Row],[PRECO 3%]]</f>
        <v>22.593999999999998</v>
      </c>
      <c r="K162" s="49">
        <f>(Tabela14[[#This Row],[REGIÃO01-3%]]*0.06)+Tabela14[[#This Row],[REGIÃO01-3%]]</f>
        <v>23.949639999999999</v>
      </c>
      <c r="L162" s="50">
        <f>(Tabela14[[#This Row],[PRECO 3%]]*0.05)+Tabela14[[#This Row],[PRECO 3%]]</f>
        <v>21.567</v>
      </c>
      <c r="M162" s="50">
        <f>(Tabela14[[#This Row],[REGIÃO02 - 3%]]*0.06)+Tabela14[[#This Row],[REGIÃO02 - 3%]]</f>
        <v>22.86102</v>
      </c>
      <c r="N162" s="51">
        <f>(Tabela14[[#This Row],[PRECO 3%]]*0.08)+Tabela14[[#This Row],[PRECO 3%]]</f>
        <v>22.183199999999999</v>
      </c>
      <c r="O162" s="51">
        <f>(Tabela14[[#This Row],[REGIÃO03-3%]]*0.06)+Tabela14[[#This Row],[REGIÃO03-3%]]</f>
        <v>23.514191999999998</v>
      </c>
      <c r="P162" s="52">
        <f>(Tabela14[[#This Row],[PRECO 3%]]*0.06)+Tabela14[[#This Row],[PRECO 3%]]</f>
        <v>21.772399999999998</v>
      </c>
      <c r="Q162" s="34">
        <f>(Tabela14[[#This Row],[REGIÃO04-3%]]*0.06)+Tabela14[[#This Row],[REGIÃO04-3%]]</f>
        <v>23.078743999999997</v>
      </c>
    </row>
    <row r="163" spans="1:17" x14ac:dyDescent="0.25">
      <c r="A163">
        <v>339</v>
      </c>
      <c r="B163" t="s">
        <v>16</v>
      </c>
      <c r="C163" t="s">
        <v>17</v>
      </c>
      <c r="D163" t="s">
        <v>8</v>
      </c>
      <c r="E163" s="1" t="s">
        <v>329</v>
      </c>
      <c r="F163">
        <v>40</v>
      </c>
      <c r="G163" t="s">
        <v>284</v>
      </c>
      <c r="H163" s="46">
        <v>16.579999999999998</v>
      </c>
      <c r="I163" s="47">
        <f>Tabela14[[#This Row],[PRECO 3%]]+(Tabela14[[#This Row],[PRECO 3%]]*0.06)</f>
        <v>17.5748</v>
      </c>
      <c r="J163" s="49">
        <f>(Tabela14[[#This Row],[PRECO 3%]]*0.1)+Tabela14[[#This Row],[PRECO 3%]]</f>
        <v>18.238</v>
      </c>
      <c r="K163" s="49">
        <f>(Tabela14[[#This Row],[REGIÃO01-3%]]*0.06)+Tabela14[[#This Row],[REGIÃO01-3%]]</f>
        <v>19.332280000000001</v>
      </c>
      <c r="L163" s="50">
        <f>(Tabela14[[#This Row],[PRECO 3%]]*0.05)+Tabela14[[#This Row],[PRECO 3%]]</f>
        <v>17.408999999999999</v>
      </c>
      <c r="M163" s="50">
        <f>(Tabela14[[#This Row],[REGIÃO02 - 3%]]*0.06)+Tabela14[[#This Row],[REGIÃO02 - 3%]]</f>
        <v>18.45354</v>
      </c>
      <c r="N163" s="51">
        <f>(Tabela14[[#This Row],[PRECO 3%]]*0.08)+Tabela14[[#This Row],[PRECO 3%]]</f>
        <v>17.906399999999998</v>
      </c>
      <c r="O163" s="51">
        <f>(Tabela14[[#This Row],[REGIÃO03-3%]]*0.06)+Tabela14[[#This Row],[REGIÃO03-3%]]</f>
        <v>18.980783999999996</v>
      </c>
      <c r="P163" s="52">
        <f>(Tabela14[[#This Row],[PRECO 3%]]*0.06)+Tabela14[[#This Row],[PRECO 3%]]</f>
        <v>17.5748</v>
      </c>
      <c r="Q163" s="34">
        <f>(Tabela14[[#This Row],[REGIÃO04-3%]]*0.06)+Tabela14[[#This Row],[REGIÃO04-3%]]</f>
        <v>18.629287999999999</v>
      </c>
    </row>
    <row r="164" spans="1:17" x14ac:dyDescent="0.25">
      <c r="A164">
        <v>340</v>
      </c>
      <c r="B164" t="s">
        <v>16</v>
      </c>
      <c r="C164" t="s">
        <v>17</v>
      </c>
      <c r="D164" t="s">
        <v>8</v>
      </c>
      <c r="E164" s="1" t="s">
        <v>262</v>
      </c>
      <c r="F164">
        <f>VLOOKUP(Tabela14[[#This Row],[ID_COD]],Tabela2[],6,0)</f>
        <v>32</v>
      </c>
      <c r="G164" t="s">
        <v>286</v>
      </c>
      <c r="H164" s="46">
        <v>17.961666666666662</v>
      </c>
      <c r="I164" s="47">
        <f>Tabela14[[#This Row],[PRECO 3%]]+(Tabela14[[#This Row],[PRECO 3%]]*0.06)</f>
        <v>19.039366666666663</v>
      </c>
      <c r="J164" s="49">
        <f>(Tabela14[[#This Row],[PRECO 3%]]*0.1)+Tabela14[[#This Row],[PRECO 3%]]</f>
        <v>19.75783333333333</v>
      </c>
      <c r="K164" s="49">
        <f>(Tabela14[[#This Row],[REGIÃO01-3%]]*0.06)+Tabela14[[#This Row],[REGIÃO01-3%]]</f>
        <v>20.943303333333329</v>
      </c>
      <c r="L164" s="50">
        <f>(Tabela14[[#This Row],[PRECO 3%]]*0.05)+Tabela14[[#This Row],[PRECO 3%]]</f>
        <v>18.859749999999995</v>
      </c>
      <c r="M164" s="50">
        <f>(Tabela14[[#This Row],[REGIÃO02 - 3%]]*0.06)+Tabela14[[#This Row],[REGIÃO02 - 3%]]</f>
        <v>19.991334999999996</v>
      </c>
      <c r="N164" s="51">
        <f>(Tabela14[[#This Row],[PRECO 3%]]*0.08)+Tabela14[[#This Row],[PRECO 3%]]</f>
        <v>19.398599999999995</v>
      </c>
      <c r="O164" s="51">
        <f>(Tabela14[[#This Row],[REGIÃO03-3%]]*0.06)+Tabela14[[#This Row],[REGIÃO03-3%]]</f>
        <v>20.562515999999995</v>
      </c>
      <c r="P164" s="52">
        <f>(Tabela14[[#This Row],[PRECO 3%]]*0.06)+Tabela14[[#This Row],[PRECO 3%]]</f>
        <v>19.039366666666663</v>
      </c>
      <c r="Q164" s="34">
        <f>(Tabela14[[#This Row],[REGIÃO04-3%]]*0.06)+Tabela14[[#This Row],[REGIÃO04-3%]]</f>
        <v>20.181728666666661</v>
      </c>
    </row>
    <row r="165" spans="1:17" x14ac:dyDescent="0.25">
      <c r="A165">
        <v>341</v>
      </c>
      <c r="B165" t="s">
        <v>16</v>
      </c>
      <c r="C165" t="s">
        <v>17</v>
      </c>
      <c r="D165" t="s">
        <v>8</v>
      </c>
      <c r="E165" s="1" t="s">
        <v>222</v>
      </c>
      <c r="F165">
        <f>VLOOKUP(Tabela14[[#This Row],[ID_COD]],Tabela2[],6,0)</f>
        <v>32</v>
      </c>
      <c r="G165" t="s">
        <v>287</v>
      </c>
      <c r="H165" s="46">
        <v>18.652499999999996</v>
      </c>
      <c r="I165" s="47">
        <f>Tabela14[[#This Row],[PRECO 3%]]+(Tabela14[[#This Row],[PRECO 3%]]*0.06)</f>
        <v>19.771649999999998</v>
      </c>
      <c r="J165" s="49">
        <f>(Tabela14[[#This Row],[PRECO 3%]]*0.1)+Tabela14[[#This Row],[PRECO 3%]]</f>
        <v>20.517749999999996</v>
      </c>
      <c r="K165" s="49">
        <f>(Tabela14[[#This Row],[REGIÃO01-3%]]*0.06)+Tabela14[[#This Row],[REGIÃO01-3%]]</f>
        <v>21.748814999999997</v>
      </c>
      <c r="L165" s="50">
        <f>(Tabela14[[#This Row],[PRECO 3%]]*0.05)+Tabela14[[#This Row],[PRECO 3%]]</f>
        <v>19.585124999999998</v>
      </c>
      <c r="M165" s="50">
        <f>(Tabela14[[#This Row],[REGIÃO02 - 3%]]*0.06)+Tabela14[[#This Row],[REGIÃO02 - 3%]]</f>
        <v>20.760232499999997</v>
      </c>
      <c r="N165" s="51">
        <f>(Tabela14[[#This Row],[PRECO 3%]]*0.08)+Tabela14[[#This Row],[PRECO 3%]]</f>
        <v>20.144699999999997</v>
      </c>
      <c r="O165" s="51">
        <f>(Tabela14[[#This Row],[REGIÃO03-3%]]*0.06)+Tabela14[[#This Row],[REGIÃO03-3%]]</f>
        <v>21.353381999999996</v>
      </c>
      <c r="P165" s="52">
        <f>(Tabela14[[#This Row],[PRECO 3%]]*0.06)+Tabela14[[#This Row],[PRECO 3%]]</f>
        <v>19.771649999999998</v>
      </c>
      <c r="Q165" s="34">
        <f>(Tabela14[[#This Row],[REGIÃO04-3%]]*0.06)+Tabela14[[#This Row],[REGIÃO04-3%]]</f>
        <v>20.957948999999996</v>
      </c>
    </row>
    <row r="166" spans="1:17" x14ac:dyDescent="0.25">
      <c r="A166">
        <v>342</v>
      </c>
      <c r="B166" t="s">
        <v>16</v>
      </c>
      <c r="C166" t="s">
        <v>17</v>
      </c>
      <c r="D166" t="s">
        <v>8</v>
      </c>
      <c r="E166" s="1" t="s">
        <v>243</v>
      </c>
      <c r="F166">
        <f>VLOOKUP(Tabela14[[#This Row],[ID_COD]],Tabela2[],6,0)</f>
        <v>32</v>
      </c>
      <c r="G166" t="s">
        <v>289</v>
      </c>
      <c r="H166" s="46">
        <v>19.34333333333333</v>
      </c>
      <c r="I166" s="47">
        <f>Tabela14[[#This Row],[PRECO 3%]]+(Tabela14[[#This Row],[PRECO 3%]]*0.06)</f>
        <v>20.503933333333329</v>
      </c>
      <c r="J166" s="49">
        <f>(Tabela14[[#This Row],[PRECO 3%]]*0.1)+Tabela14[[#This Row],[PRECO 3%]]</f>
        <v>21.277666666666661</v>
      </c>
      <c r="K166" s="49">
        <f>(Tabela14[[#This Row],[REGIÃO01-3%]]*0.06)+Tabela14[[#This Row],[REGIÃO01-3%]]</f>
        <v>22.554326666666661</v>
      </c>
      <c r="L166" s="50">
        <f>(Tabela14[[#This Row],[PRECO 3%]]*0.05)+Tabela14[[#This Row],[PRECO 3%]]</f>
        <v>20.310499999999998</v>
      </c>
      <c r="M166" s="50">
        <f>(Tabela14[[#This Row],[REGIÃO02 - 3%]]*0.06)+Tabela14[[#This Row],[REGIÃO02 - 3%]]</f>
        <v>21.529129999999999</v>
      </c>
      <c r="N166" s="51">
        <f>(Tabela14[[#This Row],[PRECO 3%]]*0.08)+Tabela14[[#This Row],[PRECO 3%]]</f>
        <v>20.890799999999995</v>
      </c>
      <c r="O166" s="51">
        <f>(Tabela14[[#This Row],[REGIÃO03-3%]]*0.06)+Tabela14[[#This Row],[REGIÃO03-3%]]</f>
        <v>22.144247999999994</v>
      </c>
      <c r="P166" s="52">
        <f>(Tabela14[[#This Row],[PRECO 3%]]*0.06)+Tabela14[[#This Row],[PRECO 3%]]</f>
        <v>20.503933333333329</v>
      </c>
      <c r="Q166" s="34">
        <f>(Tabela14[[#This Row],[REGIÃO04-3%]]*0.06)+Tabela14[[#This Row],[REGIÃO04-3%]]</f>
        <v>21.734169333333327</v>
      </c>
    </row>
    <row r="167" spans="1:17" x14ac:dyDescent="0.25">
      <c r="A167">
        <v>343</v>
      </c>
      <c r="B167" t="s">
        <v>16</v>
      </c>
      <c r="C167" t="s">
        <v>17</v>
      </c>
      <c r="D167" t="s">
        <v>8</v>
      </c>
      <c r="E167" s="1" t="s">
        <v>180</v>
      </c>
      <c r="F167">
        <f>VLOOKUP(Tabela14[[#This Row],[ID_COD]],Tabela2[],6,0)</f>
        <v>0</v>
      </c>
      <c r="G167" t="s">
        <v>280</v>
      </c>
      <c r="H167" s="46">
        <v>20.034166666666668</v>
      </c>
      <c r="I167" s="47">
        <f>Tabela14[[#This Row],[PRECO 3%]]+(Tabela14[[#This Row],[PRECO 3%]]*0.06)</f>
        <v>21.236216666666667</v>
      </c>
      <c r="J167" s="49">
        <f>(Tabela14[[#This Row],[PRECO 3%]]*0.1)+Tabela14[[#This Row],[PRECO 3%]]</f>
        <v>22.037583333333334</v>
      </c>
      <c r="K167" s="49">
        <f>(Tabela14[[#This Row],[REGIÃO01-3%]]*0.06)+Tabela14[[#This Row],[REGIÃO01-3%]]</f>
        <v>23.359838333333332</v>
      </c>
      <c r="L167" s="50">
        <f>(Tabela14[[#This Row],[PRECO 3%]]*0.05)+Tabela14[[#This Row],[PRECO 3%]]</f>
        <v>21.035875000000001</v>
      </c>
      <c r="M167" s="50">
        <f>(Tabela14[[#This Row],[REGIÃO02 - 3%]]*0.06)+Tabela14[[#This Row],[REGIÃO02 - 3%]]</f>
        <v>22.2980275</v>
      </c>
      <c r="N167" s="51">
        <f>(Tabela14[[#This Row],[PRECO 3%]]*0.08)+Tabela14[[#This Row],[PRECO 3%]]</f>
        <v>21.636900000000001</v>
      </c>
      <c r="O167" s="51">
        <f>(Tabela14[[#This Row],[REGIÃO03-3%]]*0.06)+Tabela14[[#This Row],[REGIÃO03-3%]]</f>
        <v>22.935114000000002</v>
      </c>
      <c r="P167" s="52">
        <f>(Tabela14[[#This Row],[PRECO 3%]]*0.06)+Tabela14[[#This Row],[PRECO 3%]]</f>
        <v>21.236216666666667</v>
      </c>
      <c r="Q167" s="34">
        <f>(Tabela14[[#This Row],[REGIÃO04-3%]]*0.06)+Tabela14[[#This Row],[REGIÃO04-3%]]</f>
        <v>22.510389666666669</v>
      </c>
    </row>
    <row r="168" spans="1:17" x14ac:dyDescent="0.25">
      <c r="A168">
        <v>344</v>
      </c>
      <c r="B168" t="s">
        <v>16</v>
      </c>
      <c r="C168" t="s">
        <v>17</v>
      </c>
      <c r="D168" t="s">
        <v>8</v>
      </c>
      <c r="E168" s="1" t="s">
        <v>233</v>
      </c>
      <c r="F168">
        <f>VLOOKUP(Tabela14[[#This Row],[ID_COD]],Tabela2[],6,0)</f>
        <v>0</v>
      </c>
      <c r="G168" t="s">
        <v>291</v>
      </c>
      <c r="H168" s="46">
        <v>20.724999999999998</v>
      </c>
      <c r="I168" s="47">
        <f>Tabela14[[#This Row],[PRECO 3%]]+(Tabela14[[#This Row],[PRECO 3%]]*0.06)</f>
        <v>21.968499999999999</v>
      </c>
      <c r="J168" s="49">
        <f>(Tabela14[[#This Row],[PRECO 3%]]*0.1)+Tabela14[[#This Row],[PRECO 3%]]</f>
        <v>22.797499999999999</v>
      </c>
      <c r="K168" s="49">
        <f>(Tabela14[[#This Row],[REGIÃO01-3%]]*0.06)+Tabela14[[#This Row],[REGIÃO01-3%]]</f>
        <v>24.16535</v>
      </c>
      <c r="L168" s="50">
        <f>(Tabela14[[#This Row],[PRECO 3%]]*0.05)+Tabela14[[#This Row],[PRECO 3%]]</f>
        <v>21.761249999999997</v>
      </c>
      <c r="M168" s="50">
        <f>(Tabela14[[#This Row],[REGIÃO02 - 3%]]*0.06)+Tabela14[[#This Row],[REGIÃO02 - 3%]]</f>
        <v>23.066924999999998</v>
      </c>
      <c r="N168" s="51">
        <f>(Tabela14[[#This Row],[PRECO 3%]]*0.08)+Tabela14[[#This Row],[PRECO 3%]]</f>
        <v>22.382999999999999</v>
      </c>
      <c r="O168" s="51">
        <f>(Tabela14[[#This Row],[REGIÃO03-3%]]*0.06)+Tabela14[[#This Row],[REGIÃO03-3%]]</f>
        <v>23.72598</v>
      </c>
      <c r="P168" s="52">
        <f>(Tabela14[[#This Row],[PRECO 3%]]*0.06)+Tabela14[[#This Row],[PRECO 3%]]</f>
        <v>21.968499999999999</v>
      </c>
      <c r="Q168" s="34">
        <f>(Tabela14[[#This Row],[REGIÃO04-3%]]*0.06)+Tabela14[[#This Row],[REGIÃO04-3%]]</f>
        <v>23.28661</v>
      </c>
    </row>
    <row r="169" spans="1:17" x14ac:dyDescent="0.25">
      <c r="A169">
        <v>345</v>
      </c>
      <c r="B169" t="s">
        <v>16</v>
      </c>
      <c r="C169" t="s">
        <v>17</v>
      </c>
      <c r="D169" t="s">
        <v>8</v>
      </c>
      <c r="E169" s="1" t="s">
        <v>281</v>
      </c>
      <c r="F169">
        <f>VLOOKUP(Tabela14[[#This Row],[ID_COD]],Tabela2[],6,0)</f>
        <v>0</v>
      </c>
      <c r="G169" t="s">
        <v>293</v>
      </c>
      <c r="H169" s="46">
        <v>21.415833333333332</v>
      </c>
      <c r="I169" s="47">
        <f>Tabela14[[#This Row],[PRECO 3%]]+(Tabela14[[#This Row],[PRECO 3%]]*0.06)</f>
        <v>22.70078333333333</v>
      </c>
      <c r="J169" s="49">
        <f>(Tabela14[[#This Row],[PRECO 3%]]*0.1)+Tabela14[[#This Row],[PRECO 3%]]</f>
        <v>23.557416666666665</v>
      </c>
      <c r="K169" s="49">
        <f>(Tabela14[[#This Row],[REGIÃO01-3%]]*0.06)+Tabela14[[#This Row],[REGIÃO01-3%]]</f>
        <v>24.970861666666664</v>
      </c>
      <c r="L169" s="50">
        <f>(Tabela14[[#This Row],[PRECO 3%]]*0.05)+Tabela14[[#This Row],[PRECO 3%]]</f>
        <v>22.486624999999997</v>
      </c>
      <c r="M169" s="50">
        <f>(Tabela14[[#This Row],[REGIÃO02 - 3%]]*0.06)+Tabela14[[#This Row],[REGIÃO02 - 3%]]</f>
        <v>23.835822499999995</v>
      </c>
      <c r="N169" s="51">
        <f>(Tabela14[[#This Row],[PRECO 3%]]*0.08)+Tabela14[[#This Row],[PRECO 3%]]</f>
        <v>23.129099999999998</v>
      </c>
      <c r="O169" s="51">
        <f>(Tabela14[[#This Row],[REGIÃO03-3%]]*0.06)+Tabela14[[#This Row],[REGIÃO03-3%]]</f>
        <v>24.516845999999997</v>
      </c>
      <c r="P169" s="52">
        <f>(Tabela14[[#This Row],[PRECO 3%]]*0.06)+Tabela14[[#This Row],[PRECO 3%]]</f>
        <v>22.70078333333333</v>
      </c>
      <c r="Q169" s="34">
        <f>(Tabela14[[#This Row],[REGIÃO04-3%]]*0.06)+Tabela14[[#This Row],[REGIÃO04-3%]]</f>
        <v>24.062830333333331</v>
      </c>
    </row>
    <row r="170" spans="1:17" x14ac:dyDescent="0.25">
      <c r="A170">
        <v>346</v>
      </c>
      <c r="B170" t="s">
        <v>16</v>
      </c>
      <c r="C170" t="s">
        <v>17</v>
      </c>
      <c r="D170" t="s">
        <v>8</v>
      </c>
      <c r="E170" s="1" t="s">
        <v>299</v>
      </c>
      <c r="F170">
        <f>VLOOKUP(Tabela14[[#This Row],[ID_COD]],Tabela2[],6,0)</f>
        <v>0</v>
      </c>
      <c r="G170" t="s">
        <v>295</v>
      </c>
      <c r="H170" s="46">
        <v>22.106666666666666</v>
      </c>
      <c r="I170" s="47">
        <f>Tabela14[[#This Row],[PRECO 3%]]+(Tabela14[[#This Row],[PRECO 3%]]*0.06)</f>
        <v>23.433066666666665</v>
      </c>
      <c r="J170" s="49">
        <f>(Tabela14[[#This Row],[PRECO 3%]]*0.1)+Tabela14[[#This Row],[PRECO 3%]]</f>
        <v>24.31733333333333</v>
      </c>
      <c r="K170" s="49">
        <f>(Tabela14[[#This Row],[REGIÃO01-3%]]*0.06)+Tabela14[[#This Row],[REGIÃO01-3%]]</f>
        <v>25.776373333333328</v>
      </c>
      <c r="L170" s="50">
        <f>(Tabela14[[#This Row],[PRECO 3%]]*0.05)+Tabela14[[#This Row],[PRECO 3%]]</f>
        <v>23.212</v>
      </c>
      <c r="M170" s="50">
        <f>(Tabela14[[#This Row],[REGIÃO02 - 3%]]*0.06)+Tabela14[[#This Row],[REGIÃO02 - 3%]]</f>
        <v>24.60472</v>
      </c>
      <c r="N170" s="51">
        <f>(Tabela14[[#This Row],[PRECO 3%]]*0.08)+Tabela14[[#This Row],[PRECO 3%]]</f>
        <v>23.8752</v>
      </c>
      <c r="O170" s="51">
        <f>(Tabela14[[#This Row],[REGIÃO03-3%]]*0.06)+Tabela14[[#This Row],[REGIÃO03-3%]]</f>
        <v>25.307711999999999</v>
      </c>
      <c r="P170" s="52">
        <f>(Tabela14[[#This Row],[PRECO 3%]]*0.06)+Tabela14[[#This Row],[PRECO 3%]]</f>
        <v>23.433066666666665</v>
      </c>
      <c r="Q170" s="34">
        <f>(Tabela14[[#This Row],[REGIÃO04-3%]]*0.06)+Tabela14[[#This Row],[REGIÃO04-3%]]</f>
        <v>24.839050666666665</v>
      </c>
    </row>
    <row r="171" spans="1:17" x14ac:dyDescent="0.25">
      <c r="A171">
        <v>347</v>
      </c>
      <c r="B171" t="s">
        <v>16</v>
      </c>
      <c r="C171" t="s">
        <v>17</v>
      </c>
      <c r="D171" t="s">
        <v>8</v>
      </c>
      <c r="E171" s="1" t="s">
        <v>316</v>
      </c>
      <c r="F171">
        <f>VLOOKUP(Tabela14[[#This Row],[ID_COD]],Tabela2[],6,0)</f>
        <v>0</v>
      </c>
      <c r="G171" t="s">
        <v>296</v>
      </c>
      <c r="H171" s="46">
        <v>22.797499999999999</v>
      </c>
      <c r="I171" s="47">
        <f>Tabela14[[#This Row],[PRECO 3%]]+(Tabela14[[#This Row],[PRECO 3%]]*0.06)</f>
        <v>24.16535</v>
      </c>
      <c r="J171" s="49">
        <f>(Tabela14[[#This Row],[PRECO 3%]]*0.1)+Tabela14[[#This Row],[PRECO 3%]]</f>
        <v>25.077249999999999</v>
      </c>
      <c r="K171" s="49">
        <f>(Tabela14[[#This Row],[REGIÃO01-3%]]*0.06)+Tabela14[[#This Row],[REGIÃO01-3%]]</f>
        <v>26.581885</v>
      </c>
      <c r="L171" s="50">
        <f>(Tabela14[[#This Row],[PRECO 3%]]*0.05)+Tabela14[[#This Row],[PRECO 3%]]</f>
        <v>23.937374999999999</v>
      </c>
      <c r="M171" s="50">
        <f>(Tabela14[[#This Row],[REGIÃO02 - 3%]]*0.06)+Tabela14[[#This Row],[REGIÃO02 - 3%]]</f>
        <v>25.373617499999998</v>
      </c>
      <c r="N171" s="51">
        <f>(Tabela14[[#This Row],[PRECO 3%]]*0.08)+Tabela14[[#This Row],[PRECO 3%]]</f>
        <v>24.621299999999998</v>
      </c>
      <c r="O171" s="51">
        <f>(Tabela14[[#This Row],[REGIÃO03-3%]]*0.06)+Tabela14[[#This Row],[REGIÃO03-3%]]</f>
        <v>26.098577999999996</v>
      </c>
      <c r="P171" s="52">
        <f>(Tabela14[[#This Row],[PRECO 3%]]*0.06)+Tabela14[[#This Row],[PRECO 3%]]</f>
        <v>24.16535</v>
      </c>
      <c r="Q171" s="34">
        <f>(Tabela14[[#This Row],[REGIÃO04-3%]]*0.06)+Tabela14[[#This Row],[REGIÃO04-3%]]</f>
        <v>25.615271</v>
      </c>
    </row>
    <row r="172" spans="1:17" x14ac:dyDescent="0.25">
      <c r="A172">
        <v>348</v>
      </c>
      <c r="B172" t="s">
        <v>16</v>
      </c>
      <c r="C172" t="s">
        <v>17</v>
      </c>
      <c r="D172" t="s">
        <v>8</v>
      </c>
      <c r="E172" s="1" t="s">
        <v>285</v>
      </c>
      <c r="F172">
        <f>VLOOKUP(Tabela14[[#This Row],[ID_COD]],Tabela2[],6,0)</f>
        <v>0</v>
      </c>
      <c r="G172" t="s">
        <v>297</v>
      </c>
      <c r="H172" s="46">
        <v>23.488333333333333</v>
      </c>
      <c r="I172" s="47">
        <f>Tabela14[[#This Row],[PRECO 3%]]+(Tabela14[[#This Row],[PRECO 3%]]*0.06)</f>
        <v>24.897633333333332</v>
      </c>
      <c r="J172" s="49">
        <f>(Tabela14[[#This Row],[PRECO 3%]]*0.1)+Tabela14[[#This Row],[PRECO 3%]]</f>
        <v>25.837166666666668</v>
      </c>
      <c r="K172" s="49">
        <f>(Tabela14[[#This Row],[REGIÃO01-3%]]*0.06)+Tabela14[[#This Row],[REGIÃO01-3%]]</f>
        <v>27.387396666666667</v>
      </c>
      <c r="L172" s="50">
        <f>(Tabela14[[#This Row],[PRECO 3%]]*0.05)+Tabela14[[#This Row],[PRECO 3%]]</f>
        <v>24.662749999999999</v>
      </c>
      <c r="M172" s="50">
        <f>(Tabela14[[#This Row],[REGIÃO02 - 3%]]*0.06)+Tabela14[[#This Row],[REGIÃO02 - 3%]]</f>
        <v>26.142515</v>
      </c>
      <c r="N172" s="51">
        <f>(Tabela14[[#This Row],[PRECO 3%]]*0.08)+Tabela14[[#This Row],[PRECO 3%]]</f>
        <v>25.3674</v>
      </c>
      <c r="O172" s="51">
        <f>(Tabela14[[#This Row],[REGIÃO03-3%]]*0.06)+Tabela14[[#This Row],[REGIÃO03-3%]]</f>
        <v>26.889444000000001</v>
      </c>
      <c r="P172" s="52">
        <f>(Tabela14[[#This Row],[PRECO 3%]]*0.06)+Tabela14[[#This Row],[PRECO 3%]]</f>
        <v>24.897633333333332</v>
      </c>
      <c r="Q172" s="34">
        <f>(Tabela14[[#This Row],[REGIÃO04-3%]]*0.06)+Tabela14[[#This Row],[REGIÃO04-3%]]</f>
        <v>26.391491333333331</v>
      </c>
    </row>
    <row r="173" spans="1:17" x14ac:dyDescent="0.25">
      <c r="A173">
        <v>349</v>
      </c>
      <c r="B173" t="s">
        <v>19</v>
      </c>
      <c r="C173" t="s">
        <v>20</v>
      </c>
      <c r="D173" t="s">
        <v>8</v>
      </c>
      <c r="E173" s="1" t="s">
        <v>222</v>
      </c>
      <c r="F173">
        <f>VLOOKUP(Tabela14[[#This Row],[ID_COD]],Tabela2[],6,0)</f>
        <v>32</v>
      </c>
      <c r="G173" t="s">
        <v>303</v>
      </c>
      <c r="H173" s="46">
        <v>19.22</v>
      </c>
      <c r="I173" s="47">
        <f>Tabela14[[#This Row],[PRECO 3%]]+(Tabela14[[#This Row],[PRECO 3%]]*0.06)</f>
        <v>20.373199999999997</v>
      </c>
      <c r="J173" s="49">
        <f>(Tabela14[[#This Row],[PRECO 3%]]*0.1)+Tabela14[[#This Row],[PRECO 3%]]</f>
        <v>21.141999999999999</v>
      </c>
      <c r="K173" s="49">
        <f>(Tabela14[[#This Row],[REGIÃO01-3%]]*0.06)+Tabela14[[#This Row],[REGIÃO01-3%]]</f>
        <v>22.410519999999998</v>
      </c>
      <c r="L173" s="50">
        <f>(Tabela14[[#This Row],[PRECO 3%]]*0.05)+Tabela14[[#This Row],[PRECO 3%]]</f>
        <v>20.180999999999997</v>
      </c>
      <c r="M173" s="50">
        <f>(Tabela14[[#This Row],[REGIÃO02 - 3%]]*0.06)+Tabela14[[#This Row],[REGIÃO02 - 3%]]</f>
        <v>21.391859999999998</v>
      </c>
      <c r="N173" s="51">
        <f>(Tabela14[[#This Row],[PRECO 3%]]*0.08)+Tabela14[[#This Row],[PRECO 3%]]</f>
        <v>20.7576</v>
      </c>
      <c r="O173" s="51">
        <f>(Tabela14[[#This Row],[REGIÃO03-3%]]*0.06)+Tabela14[[#This Row],[REGIÃO03-3%]]</f>
        <v>22.003056000000001</v>
      </c>
      <c r="P173" s="52">
        <f>(Tabela14[[#This Row],[PRECO 3%]]*0.06)+Tabela14[[#This Row],[PRECO 3%]]</f>
        <v>20.373199999999997</v>
      </c>
      <c r="Q173" s="34">
        <f>(Tabela14[[#This Row],[REGIÃO04-3%]]*0.06)+Tabela14[[#This Row],[REGIÃO04-3%]]</f>
        <v>21.595591999999996</v>
      </c>
    </row>
    <row r="174" spans="1:17" x14ac:dyDescent="0.25">
      <c r="A174">
        <v>350</v>
      </c>
      <c r="B174" t="s">
        <v>19</v>
      </c>
      <c r="C174" t="s">
        <v>20</v>
      </c>
      <c r="D174" t="s">
        <v>8</v>
      </c>
      <c r="E174" s="1" t="s">
        <v>243</v>
      </c>
      <c r="F174">
        <f>VLOOKUP(Tabela14[[#This Row],[ID_COD]],Tabela2[],6,0)</f>
        <v>32</v>
      </c>
      <c r="G174" t="s">
        <v>301</v>
      </c>
      <c r="H174" s="46">
        <v>19.931851851851849</v>
      </c>
      <c r="I174" s="47">
        <f>Tabela14[[#This Row],[PRECO 3%]]+(Tabela14[[#This Row],[PRECO 3%]]*0.06)</f>
        <v>21.127762962962962</v>
      </c>
      <c r="J174" s="49">
        <f>(Tabela14[[#This Row],[PRECO 3%]]*0.1)+Tabela14[[#This Row],[PRECO 3%]]</f>
        <v>21.925037037037036</v>
      </c>
      <c r="K174" s="49">
        <f>(Tabela14[[#This Row],[REGIÃO01-3%]]*0.06)+Tabela14[[#This Row],[REGIÃO01-3%]]</f>
        <v>23.240539259259258</v>
      </c>
      <c r="L174" s="50">
        <f>(Tabela14[[#This Row],[PRECO 3%]]*0.05)+Tabela14[[#This Row],[PRECO 3%]]</f>
        <v>20.928444444444441</v>
      </c>
      <c r="M174" s="50">
        <f>(Tabela14[[#This Row],[REGIÃO02 - 3%]]*0.06)+Tabela14[[#This Row],[REGIÃO02 - 3%]]</f>
        <v>22.184151111111106</v>
      </c>
      <c r="N174" s="51">
        <f>(Tabela14[[#This Row],[PRECO 3%]]*0.08)+Tabela14[[#This Row],[PRECO 3%]]</f>
        <v>21.526399999999999</v>
      </c>
      <c r="O174" s="51">
        <f>(Tabela14[[#This Row],[REGIÃO03-3%]]*0.06)+Tabela14[[#This Row],[REGIÃO03-3%]]</f>
        <v>22.817983999999999</v>
      </c>
      <c r="P174" s="52">
        <f>(Tabela14[[#This Row],[PRECO 3%]]*0.06)+Tabela14[[#This Row],[PRECO 3%]]</f>
        <v>21.127762962962962</v>
      </c>
      <c r="Q174" s="34">
        <f>(Tabela14[[#This Row],[REGIÃO04-3%]]*0.06)+Tabela14[[#This Row],[REGIÃO04-3%]]</f>
        <v>22.395428740740741</v>
      </c>
    </row>
    <row r="175" spans="1:17" x14ac:dyDescent="0.25">
      <c r="A175">
        <v>351</v>
      </c>
      <c r="B175" t="s">
        <v>19</v>
      </c>
      <c r="C175" t="s">
        <v>20</v>
      </c>
      <c r="D175" t="s">
        <v>8</v>
      </c>
      <c r="E175" s="1" t="s">
        <v>180</v>
      </c>
      <c r="F175">
        <f>VLOOKUP(Tabela14[[#This Row],[ID_COD]],Tabela2[],6,0)</f>
        <v>0</v>
      </c>
      <c r="G175" t="s">
        <v>306</v>
      </c>
      <c r="H175" s="46">
        <v>20.6437037037037</v>
      </c>
      <c r="I175" s="47">
        <f>Tabela14[[#This Row],[PRECO 3%]]+(Tabela14[[#This Row],[PRECO 3%]]*0.06)</f>
        <v>21.882325925925922</v>
      </c>
      <c r="J175" s="49">
        <f>(Tabela14[[#This Row],[PRECO 3%]]*0.1)+Tabela14[[#This Row],[PRECO 3%]]</f>
        <v>22.708074074074069</v>
      </c>
      <c r="K175" s="49">
        <f>(Tabela14[[#This Row],[REGIÃO01-3%]]*0.06)+Tabela14[[#This Row],[REGIÃO01-3%]]</f>
        <v>24.070558518518514</v>
      </c>
      <c r="L175" s="50">
        <f>(Tabela14[[#This Row],[PRECO 3%]]*0.05)+Tabela14[[#This Row],[PRECO 3%]]</f>
        <v>21.675888888888885</v>
      </c>
      <c r="M175" s="50">
        <f>(Tabela14[[#This Row],[REGIÃO02 - 3%]]*0.06)+Tabela14[[#This Row],[REGIÃO02 - 3%]]</f>
        <v>22.976442222222218</v>
      </c>
      <c r="N175" s="51">
        <f>(Tabela14[[#This Row],[PRECO 3%]]*0.08)+Tabela14[[#This Row],[PRECO 3%]]</f>
        <v>22.295199999999998</v>
      </c>
      <c r="O175" s="51">
        <f>(Tabela14[[#This Row],[REGIÃO03-3%]]*0.06)+Tabela14[[#This Row],[REGIÃO03-3%]]</f>
        <v>23.632911999999997</v>
      </c>
      <c r="P175" s="52">
        <f>(Tabela14[[#This Row],[PRECO 3%]]*0.06)+Tabela14[[#This Row],[PRECO 3%]]</f>
        <v>21.882325925925922</v>
      </c>
      <c r="Q175" s="34">
        <f>(Tabela14[[#This Row],[REGIÃO04-3%]]*0.06)+Tabela14[[#This Row],[REGIÃO04-3%]]</f>
        <v>23.195265481481478</v>
      </c>
    </row>
    <row r="176" spans="1:17" x14ac:dyDescent="0.25">
      <c r="A176">
        <v>352</v>
      </c>
      <c r="B176" t="s">
        <v>19</v>
      </c>
      <c r="C176" t="s">
        <v>20</v>
      </c>
      <c r="D176" t="s">
        <v>8</v>
      </c>
      <c r="E176" s="1" t="s">
        <v>233</v>
      </c>
      <c r="F176">
        <f>VLOOKUP(Tabela14[[#This Row],[ID_COD]],Tabela2[],6,0)</f>
        <v>0</v>
      </c>
      <c r="G176" t="s">
        <v>308</v>
      </c>
      <c r="H176" s="46">
        <v>21.355555555555554</v>
      </c>
      <c r="I176" s="47">
        <f>Tabela14[[#This Row],[PRECO 3%]]+(Tabela14[[#This Row],[PRECO 3%]]*0.06)</f>
        <v>22.636888888888887</v>
      </c>
      <c r="J176" s="49">
        <f>(Tabela14[[#This Row],[PRECO 3%]]*0.1)+Tabela14[[#This Row],[PRECO 3%]]</f>
        <v>23.49111111111111</v>
      </c>
      <c r="K176" s="49">
        <f>(Tabela14[[#This Row],[REGIÃO01-3%]]*0.06)+Tabela14[[#This Row],[REGIÃO01-3%]]</f>
        <v>24.900577777777777</v>
      </c>
      <c r="L176" s="50">
        <f>(Tabela14[[#This Row],[PRECO 3%]]*0.05)+Tabela14[[#This Row],[PRECO 3%]]</f>
        <v>22.423333333333332</v>
      </c>
      <c r="M176" s="50">
        <f>(Tabela14[[#This Row],[REGIÃO02 - 3%]]*0.06)+Tabela14[[#This Row],[REGIÃO02 - 3%]]</f>
        <v>23.768733333333333</v>
      </c>
      <c r="N176" s="51">
        <f>(Tabela14[[#This Row],[PRECO 3%]]*0.08)+Tabela14[[#This Row],[PRECO 3%]]</f>
        <v>23.064</v>
      </c>
      <c r="O176" s="51">
        <f>(Tabela14[[#This Row],[REGIÃO03-3%]]*0.06)+Tabela14[[#This Row],[REGIÃO03-3%]]</f>
        <v>24.447839999999999</v>
      </c>
      <c r="P176" s="52">
        <f>(Tabela14[[#This Row],[PRECO 3%]]*0.06)+Tabela14[[#This Row],[PRECO 3%]]</f>
        <v>22.636888888888887</v>
      </c>
      <c r="Q176" s="34">
        <f>(Tabela14[[#This Row],[REGIÃO04-3%]]*0.06)+Tabela14[[#This Row],[REGIÃO04-3%]]</f>
        <v>23.995102222222219</v>
      </c>
    </row>
    <row r="177" spans="1:17" x14ac:dyDescent="0.25">
      <c r="A177">
        <v>353</v>
      </c>
      <c r="B177" t="s">
        <v>19</v>
      </c>
      <c r="C177" t="s">
        <v>20</v>
      </c>
      <c r="D177" t="s">
        <v>8</v>
      </c>
      <c r="E177" s="1" t="s">
        <v>281</v>
      </c>
      <c r="F177">
        <f>VLOOKUP(Tabela14[[#This Row],[ID_COD]],Tabela2[],6,0)</f>
        <v>0</v>
      </c>
      <c r="G177" t="s">
        <v>309</v>
      </c>
      <c r="H177" s="46">
        <v>22.067407407407408</v>
      </c>
      <c r="I177" s="47">
        <f>Tabela14[[#This Row],[PRECO 3%]]+(Tabela14[[#This Row],[PRECO 3%]]*0.06)</f>
        <v>23.391451851851851</v>
      </c>
      <c r="J177" s="49">
        <f>(Tabela14[[#This Row],[PRECO 3%]]*0.1)+Tabela14[[#This Row],[PRECO 3%]]</f>
        <v>24.27414814814815</v>
      </c>
      <c r="K177" s="49">
        <f>(Tabela14[[#This Row],[REGIÃO01-3%]]*0.06)+Tabela14[[#This Row],[REGIÃO01-3%]]</f>
        <v>25.73059703703704</v>
      </c>
      <c r="L177" s="50">
        <f>(Tabela14[[#This Row],[PRECO 3%]]*0.05)+Tabela14[[#This Row],[PRECO 3%]]</f>
        <v>23.170777777777779</v>
      </c>
      <c r="M177" s="50">
        <f>(Tabela14[[#This Row],[REGIÃO02 - 3%]]*0.06)+Tabela14[[#This Row],[REGIÃO02 - 3%]]</f>
        <v>24.561024444444445</v>
      </c>
      <c r="N177" s="51">
        <f>(Tabela14[[#This Row],[PRECO 3%]]*0.08)+Tabela14[[#This Row],[PRECO 3%]]</f>
        <v>23.832800000000002</v>
      </c>
      <c r="O177" s="51">
        <f>(Tabela14[[#This Row],[REGIÃO03-3%]]*0.06)+Tabela14[[#This Row],[REGIÃO03-3%]]</f>
        <v>25.262768000000001</v>
      </c>
      <c r="P177" s="52">
        <f>(Tabela14[[#This Row],[PRECO 3%]]*0.06)+Tabela14[[#This Row],[PRECO 3%]]</f>
        <v>23.391451851851851</v>
      </c>
      <c r="Q177" s="34">
        <f>(Tabela14[[#This Row],[REGIÃO04-3%]]*0.06)+Tabela14[[#This Row],[REGIÃO04-3%]]</f>
        <v>24.794938962962963</v>
      </c>
    </row>
    <row r="178" spans="1:17" x14ac:dyDescent="0.25">
      <c r="A178">
        <v>354</v>
      </c>
      <c r="B178" t="s">
        <v>19</v>
      </c>
      <c r="C178" t="s">
        <v>20</v>
      </c>
      <c r="D178" t="s">
        <v>8</v>
      </c>
      <c r="E178" s="1" t="s">
        <v>299</v>
      </c>
      <c r="F178">
        <f>VLOOKUP(Tabela14[[#This Row],[ID_COD]],Tabela2[],6,0)</f>
        <v>0</v>
      </c>
      <c r="G178" t="s">
        <v>310</v>
      </c>
      <c r="H178" s="46">
        <v>22.779259259259259</v>
      </c>
      <c r="I178" s="47">
        <f>Tabela14[[#This Row],[PRECO 3%]]+(Tabela14[[#This Row],[PRECO 3%]]*0.06)</f>
        <v>24.146014814814816</v>
      </c>
      <c r="J178" s="49">
        <f>(Tabela14[[#This Row],[PRECO 3%]]*0.1)+Tabela14[[#This Row],[PRECO 3%]]</f>
        <v>25.057185185185183</v>
      </c>
      <c r="K178" s="49">
        <f>(Tabela14[[#This Row],[REGIÃO01-3%]]*0.06)+Tabela14[[#This Row],[REGIÃO01-3%]]</f>
        <v>26.560616296296296</v>
      </c>
      <c r="L178" s="50">
        <f>(Tabela14[[#This Row],[PRECO 3%]]*0.05)+Tabela14[[#This Row],[PRECO 3%]]</f>
        <v>23.918222222222223</v>
      </c>
      <c r="M178" s="50">
        <f>(Tabela14[[#This Row],[REGIÃO02 - 3%]]*0.06)+Tabela14[[#This Row],[REGIÃO02 - 3%]]</f>
        <v>25.353315555555557</v>
      </c>
      <c r="N178" s="51">
        <f>(Tabela14[[#This Row],[PRECO 3%]]*0.08)+Tabela14[[#This Row],[PRECO 3%]]</f>
        <v>24.601600000000001</v>
      </c>
      <c r="O178" s="51">
        <f>(Tabela14[[#This Row],[REGIÃO03-3%]]*0.06)+Tabela14[[#This Row],[REGIÃO03-3%]]</f>
        <v>26.077696000000003</v>
      </c>
      <c r="P178" s="52">
        <f>(Tabela14[[#This Row],[PRECO 3%]]*0.06)+Tabela14[[#This Row],[PRECO 3%]]</f>
        <v>24.146014814814816</v>
      </c>
      <c r="Q178" s="34">
        <f>(Tabela14[[#This Row],[REGIÃO04-3%]]*0.06)+Tabela14[[#This Row],[REGIÃO04-3%]]</f>
        <v>25.594775703703704</v>
      </c>
    </row>
    <row r="179" spans="1:17" x14ac:dyDescent="0.25">
      <c r="A179">
        <v>355</v>
      </c>
      <c r="B179" t="s">
        <v>19</v>
      </c>
      <c r="C179" t="s">
        <v>20</v>
      </c>
      <c r="D179" t="s">
        <v>8</v>
      </c>
      <c r="E179" s="1" t="s">
        <v>316</v>
      </c>
      <c r="F179">
        <f>VLOOKUP(Tabela14[[#This Row],[ID_COD]],Tabela2[],6,0)</f>
        <v>0</v>
      </c>
      <c r="G179" t="s">
        <v>312</v>
      </c>
      <c r="H179" s="46">
        <v>23.49111111111111</v>
      </c>
      <c r="I179" s="47">
        <f>Tabela14[[#This Row],[PRECO 3%]]+(Tabela14[[#This Row],[PRECO 3%]]*0.06)</f>
        <v>24.900577777777777</v>
      </c>
      <c r="J179" s="49">
        <f>(Tabela14[[#This Row],[PRECO 3%]]*0.1)+Tabela14[[#This Row],[PRECO 3%]]</f>
        <v>25.84022222222222</v>
      </c>
      <c r="K179" s="49">
        <f>(Tabela14[[#This Row],[REGIÃO01-3%]]*0.06)+Tabela14[[#This Row],[REGIÃO01-3%]]</f>
        <v>27.390635555555555</v>
      </c>
      <c r="L179" s="50">
        <f>(Tabela14[[#This Row],[PRECO 3%]]*0.05)+Tabela14[[#This Row],[PRECO 3%]]</f>
        <v>24.665666666666667</v>
      </c>
      <c r="M179" s="50">
        <f>(Tabela14[[#This Row],[REGIÃO02 - 3%]]*0.06)+Tabela14[[#This Row],[REGIÃO02 - 3%]]</f>
        <v>26.145606666666666</v>
      </c>
      <c r="N179" s="51">
        <f>(Tabela14[[#This Row],[PRECO 3%]]*0.08)+Tabela14[[#This Row],[PRECO 3%]]</f>
        <v>25.3704</v>
      </c>
      <c r="O179" s="51">
        <f>(Tabela14[[#This Row],[REGIÃO03-3%]]*0.06)+Tabela14[[#This Row],[REGIÃO03-3%]]</f>
        <v>26.892624000000001</v>
      </c>
      <c r="P179" s="52">
        <f>(Tabela14[[#This Row],[PRECO 3%]]*0.06)+Tabela14[[#This Row],[PRECO 3%]]</f>
        <v>24.900577777777777</v>
      </c>
      <c r="Q179" s="34">
        <f>(Tabela14[[#This Row],[REGIÃO04-3%]]*0.06)+Tabela14[[#This Row],[REGIÃO04-3%]]</f>
        <v>26.394612444444444</v>
      </c>
    </row>
    <row r="180" spans="1:17" x14ac:dyDescent="0.25">
      <c r="A180">
        <v>356</v>
      </c>
      <c r="B180" t="s">
        <v>19</v>
      </c>
      <c r="C180" t="s">
        <v>20</v>
      </c>
      <c r="D180" t="s">
        <v>8</v>
      </c>
      <c r="E180" s="1" t="s">
        <v>285</v>
      </c>
      <c r="F180">
        <f>VLOOKUP(Tabela14[[#This Row],[ID_COD]],Tabela2[],6,0)</f>
        <v>0</v>
      </c>
      <c r="G180" t="s">
        <v>313</v>
      </c>
      <c r="H180" s="46">
        <v>24.20296296296296</v>
      </c>
      <c r="I180" s="47">
        <f>Tabela14[[#This Row],[PRECO 3%]]+(Tabela14[[#This Row],[PRECO 3%]]*0.06)</f>
        <v>25.655140740740737</v>
      </c>
      <c r="J180" s="49">
        <f>(Tabela14[[#This Row],[PRECO 3%]]*0.1)+Tabela14[[#This Row],[PRECO 3%]]</f>
        <v>26.623259259259257</v>
      </c>
      <c r="K180" s="49">
        <f>(Tabela14[[#This Row],[REGIÃO01-3%]]*0.06)+Tabela14[[#This Row],[REGIÃO01-3%]]</f>
        <v>28.220654814814811</v>
      </c>
      <c r="L180" s="50">
        <f>(Tabela14[[#This Row],[PRECO 3%]]*0.05)+Tabela14[[#This Row],[PRECO 3%]]</f>
        <v>25.413111111111107</v>
      </c>
      <c r="M180" s="50">
        <f>(Tabela14[[#This Row],[REGIÃO02 - 3%]]*0.06)+Tabela14[[#This Row],[REGIÃO02 - 3%]]</f>
        <v>26.937897777777774</v>
      </c>
      <c r="N180" s="51">
        <f>(Tabela14[[#This Row],[PRECO 3%]]*0.08)+Tabela14[[#This Row],[PRECO 3%]]</f>
        <v>26.139199999999999</v>
      </c>
      <c r="O180" s="51">
        <f>(Tabela14[[#This Row],[REGIÃO03-3%]]*0.06)+Tabela14[[#This Row],[REGIÃO03-3%]]</f>
        <v>27.707552</v>
      </c>
      <c r="P180" s="52">
        <f>(Tabela14[[#This Row],[PRECO 3%]]*0.06)+Tabela14[[#This Row],[PRECO 3%]]</f>
        <v>25.655140740740737</v>
      </c>
      <c r="Q180" s="34">
        <f>(Tabela14[[#This Row],[REGIÃO04-3%]]*0.06)+Tabela14[[#This Row],[REGIÃO04-3%]]</f>
        <v>27.194449185185182</v>
      </c>
    </row>
    <row r="181" spans="1:17" x14ac:dyDescent="0.25">
      <c r="A181">
        <v>357</v>
      </c>
      <c r="B181" t="s">
        <v>23</v>
      </c>
      <c r="C181" t="s">
        <v>24</v>
      </c>
      <c r="D181" t="s">
        <v>4</v>
      </c>
      <c r="E181" s="1" t="s">
        <v>326</v>
      </c>
      <c r="F181">
        <f>VLOOKUP(Tabela14[[#This Row],[ID_COD]],Tabela2[],6,0)</f>
        <v>36</v>
      </c>
      <c r="G181" t="s">
        <v>207</v>
      </c>
      <c r="H181" s="46">
        <v>15.8424</v>
      </c>
      <c r="I181" s="47">
        <f>Tabela14[[#This Row],[PRECO 3%]]+(Tabela14[[#This Row],[PRECO 3%]]*0.06)</f>
        <v>16.792943999999999</v>
      </c>
      <c r="J181" s="49">
        <f>(Tabela14[[#This Row],[PRECO 3%]]*0.1)+Tabela14[[#This Row],[PRECO 3%]]</f>
        <v>17.426639999999999</v>
      </c>
      <c r="K181" s="49">
        <f>(Tabela14[[#This Row],[REGIÃO01-3%]]*0.06)+Tabela14[[#This Row],[REGIÃO01-3%]]</f>
        <v>18.472238399999998</v>
      </c>
      <c r="L181" s="50">
        <f>(Tabela14[[#This Row],[PRECO 3%]]*0.05)+Tabela14[[#This Row],[PRECO 3%]]</f>
        <v>16.634519999999998</v>
      </c>
      <c r="M181" s="50">
        <f>(Tabela14[[#This Row],[REGIÃO02 - 3%]]*0.06)+Tabela14[[#This Row],[REGIÃO02 - 3%]]</f>
        <v>17.632591199999997</v>
      </c>
      <c r="N181" s="51">
        <f>(Tabela14[[#This Row],[PRECO 3%]]*0.08)+Tabela14[[#This Row],[PRECO 3%]]</f>
        <v>17.109791999999999</v>
      </c>
      <c r="O181" s="51">
        <f>(Tabela14[[#This Row],[REGIÃO03-3%]]*0.06)+Tabela14[[#This Row],[REGIÃO03-3%]]</f>
        <v>18.136379519999998</v>
      </c>
      <c r="P181" s="52">
        <f>(Tabela14[[#This Row],[PRECO 3%]]*0.06)+Tabela14[[#This Row],[PRECO 3%]]</f>
        <v>16.792943999999999</v>
      </c>
      <c r="Q181" s="34">
        <f>(Tabela14[[#This Row],[REGIÃO04-3%]]*0.06)+Tabela14[[#This Row],[REGIÃO04-3%]]</f>
        <v>17.800520639999998</v>
      </c>
    </row>
    <row r="182" spans="1:17" x14ac:dyDescent="0.25">
      <c r="A182">
        <v>358</v>
      </c>
      <c r="B182" t="s">
        <v>23</v>
      </c>
      <c r="C182" t="s">
        <v>24</v>
      </c>
      <c r="D182" t="s">
        <v>4</v>
      </c>
      <c r="E182" s="1" t="s">
        <v>327</v>
      </c>
      <c r="F182">
        <f>VLOOKUP(Tabela14[[#This Row],[ID_COD]],Tabela2[],6,0)</f>
        <v>30</v>
      </c>
      <c r="G182" t="s">
        <v>207</v>
      </c>
      <c r="H182" s="46">
        <v>16.596799999999998</v>
      </c>
      <c r="I182" s="47">
        <f>Tabela14[[#This Row],[PRECO 3%]]+(Tabela14[[#This Row],[PRECO 3%]]*0.06)</f>
        <v>17.592607999999998</v>
      </c>
      <c r="J182" s="49">
        <f>(Tabela14[[#This Row],[PRECO 3%]]*0.1)+Tabela14[[#This Row],[PRECO 3%]]</f>
        <v>18.256479999999996</v>
      </c>
      <c r="K182" s="49">
        <f>(Tabela14[[#This Row],[REGIÃO01-3%]]*0.06)+Tabela14[[#This Row],[REGIÃO01-3%]]</f>
        <v>19.351868799999995</v>
      </c>
      <c r="L182" s="50">
        <f>(Tabela14[[#This Row],[PRECO 3%]]*0.05)+Tabela14[[#This Row],[PRECO 3%]]</f>
        <v>17.426639999999999</v>
      </c>
      <c r="M182" s="50">
        <f>(Tabela14[[#This Row],[REGIÃO02 - 3%]]*0.06)+Tabela14[[#This Row],[REGIÃO02 - 3%]]</f>
        <v>18.472238399999998</v>
      </c>
      <c r="N182" s="51">
        <f>(Tabela14[[#This Row],[PRECO 3%]]*0.08)+Tabela14[[#This Row],[PRECO 3%]]</f>
        <v>17.924543999999997</v>
      </c>
      <c r="O182" s="51">
        <f>(Tabela14[[#This Row],[REGIÃO03-3%]]*0.06)+Tabela14[[#This Row],[REGIÃO03-3%]]</f>
        <v>19.000016639999998</v>
      </c>
      <c r="P182" s="52">
        <f>(Tabela14[[#This Row],[PRECO 3%]]*0.06)+Tabela14[[#This Row],[PRECO 3%]]</f>
        <v>17.592607999999998</v>
      </c>
      <c r="Q182" s="34">
        <f>(Tabela14[[#This Row],[REGIÃO04-3%]]*0.06)+Tabela14[[#This Row],[REGIÃO04-3%]]</f>
        <v>18.648164479999998</v>
      </c>
    </row>
    <row r="183" spans="1:17" x14ac:dyDescent="0.25">
      <c r="A183">
        <v>359</v>
      </c>
      <c r="B183" t="s">
        <v>25</v>
      </c>
      <c r="C183" t="s">
        <v>26</v>
      </c>
      <c r="D183" t="s">
        <v>4</v>
      </c>
      <c r="E183" s="1" t="s">
        <v>325</v>
      </c>
      <c r="F183">
        <f>VLOOKUP(Tabela14[[#This Row],[ID_COD]],Tabela2[],6,0)</f>
        <v>36</v>
      </c>
      <c r="G183" t="s">
        <v>227</v>
      </c>
      <c r="H183" s="46">
        <v>15.8</v>
      </c>
      <c r="I183" s="47">
        <f>Tabela14[[#This Row],[PRECO 3%]]+(Tabela14[[#This Row],[PRECO 3%]]*0.06)</f>
        <v>16.748000000000001</v>
      </c>
      <c r="J183" s="49">
        <f>(Tabela14[[#This Row],[PRECO 3%]]*0.1)+Tabela14[[#This Row],[PRECO 3%]]</f>
        <v>17.380000000000003</v>
      </c>
      <c r="K183" s="49">
        <f>(Tabela14[[#This Row],[REGIÃO01-3%]]*0.06)+Tabela14[[#This Row],[REGIÃO01-3%]]</f>
        <v>18.422800000000002</v>
      </c>
      <c r="L183" s="50">
        <f>(Tabela14[[#This Row],[PRECO 3%]]*0.05)+Tabela14[[#This Row],[PRECO 3%]]</f>
        <v>16.59</v>
      </c>
      <c r="M183" s="50">
        <f>(Tabela14[[#This Row],[REGIÃO02 - 3%]]*0.06)+Tabela14[[#This Row],[REGIÃO02 - 3%]]</f>
        <v>17.5854</v>
      </c>
      <c r="N183" s="51">
        <f>(Tabela14[[#This Row],[PRECO 3%]]*0.08)+Tabela14[[#This Row],[PRECO 3%]]</f>
        <v>17.064</v>
      </c>
      <c r="O183" s="51">
        <f>(Tabela14[[#This Row],[REGIÃO03-3%]]*0.06)+Tabela14[[#This Row],[REGIÃO03-3%]]</f>
        <v>18.08784</v>
      </c>
      <c r="P183" s="52">
        <f>(Tabela14[[#This Row],[PRECO 3%]]*0.06)+Tabela14[[#This Row],[PRECO 3%]]</f>
        <v>16.748000000000001</v>
      </c>
      <c r="Q183" s="34">
        <f>(Tabela14[[#This Row],[REGIÃO04-3%]]*0.06)+Tabela14[[#This Row],[REGIÃO04-3%]]</f>
        <v>17.752880000000001</v>
      </c>
    </row>
    <row r="184" spans="1:17" x14ac:dyDescent="0.25">
      <c r="A184">
        <v>414</v>
      </c>
      <c r="B184" t="s">
        <v>62</v>
      </c>
      <c r="C184" t="s">
        <v>30</v>
      </c>
      <c r="D184" t="s">
        <v>58</v>
      </c>
      <c r="E184" s="1" t="s">
        <v>322</v>
      </c>
      <c r="F184">
        <f>VLOOKUP(Tabela14[[#This Row],[ID_COD]],Tabela2[],6,0)</f>
        <v>110</v>
      </c>
      <c r="G184" t="s">
        <v>114</v>
      </c>
      <c r="H184" s="2">
        <v>3.85</v>
      </c>
      <c r="I184" s="34">
        <f>Tabela14[[#This Row],[PRECO 3%]]+(Tabela14[[#This Row],[PRECO 3%]]*0.06)</f>
        <v>4.0810000000000004</v>
      </c>
      <c r="J184" s="34"/>
      <c r="K184" s="34">
        <f>(Tabela14[[#This Row],[REGIÃO01-3%]]*0.06)+Tabela14[[#This Row],[REGIÃO01-3%]]</f>
        <v>0</v>
      </c>
      <c r="L184" s="34">
        <f>(Tabela14[[#This Row],[PRECO 3%]]*0.05)+Tabela14[[#This Row],[PRECO 3%]]</f>
        <v>4.0425000000000004</v>
      </c>
      <c r="M184" s="34">
        <f>(Tabela14[[#This Row],[REGIÃO02 - 3%]]*0.06)+Tabela14[[#This Row],[REGIÃO02 - 3%]]</f>
        <v>4.28505</v>
      </c>
      <c r="N184" s="34">
        <f>(Tabela14[[#This Row],[PRECO 3%]]*0.08)+Tabela14[[#This Row],[PRECO 3%]]</f>
        <v>4.1580000000000004</v>
      </c>
      <c r="O184" s="34">
        <f>(Tabela14[[#This Row],[REGIÃO03-3%]]*0.06)+Tabela14[[#This Row],[REGIÃO03-3%]]</f>
        <v>4.4074800000000005</v>
      </c>
      <c r="P184" s="34">
        <f>(Tabela14[[#This Row],[PRECO 3%]]*0.06)+Tabela14[[#This Row],[PRECO 3%]]</f>
        <v>4.0810000000000004</v>
      </c>
      <c r="Q184" s="34">
        <f>(Tabela14[[#This Row],[REGIÃO04-3%]]*0.06)+Tabela14[[#This Row],[REGIÃO04-3%]]</f>
        <v>4.3258600000000005</v>
      </c>
    </row>
    <row r="185" spans="1:17" x14ac:dyDescent="0.25">
      <c r="A185">
        <v>416</v>
      </c>
      <c r="B185" t="s">
        <v>62</v>
      </c>
      <c r="C185" t="s">
        <v>45</v>
      </c>
      <c r="D185" t="s">
        <v>59</v>
      </c>
      <c r="E185" s="1" t="s">
        <v>322</v>
      </c>
      <c r="F185">
        <f>VLOOKUP(Tabela14[[#This Row],[ID_COD]],Tabela2[],6,0)</f>
        <v>100</v>
      </c>
      <c r="G185" t="s">
        <v>115</v>
      </c>
      <c r="H185" s="2">
        <v>4.6399999999999997</v>
      </c>
      <c r="I185" s="34">
        <f>Tabela14[[#This Row],[PRECO 3%]]+(Tabela14[[#This Row],[PRECO 3%]]*0.06)</f>
        <v>4.9184000000000001</v>
      </c>
      <c r="J185" s="34"/>
      <c r="K185" s="34">
        <f>(Tabela14[[#This Row],[REGIÃO01-3%]]*0.06)+Tabela14[[#This Row],[REGIÃO01-3%]]</f>
        <v>0</v>
      </c>
      <c r="L185" s="34">
        <f>(Tabela14[[#This Row],[PRECO 3%]]*0.05)+Tabela14[[#This Row],[PRECO 3%]]</f>
        <v>4.8719999999999999</v>
      </c>
      <c r="M185" s="34">
        <f>(Tabela14[[#This Row],[REGIÃO02 - 3%]]*0.06)+Tabela14[[#This Row],[REGIÃO02 - 3%]]</f>
        <v>5.16432</v>
      </c>
      <c r="N185" s="34">
        <f>(Tabela14[[#This Row],[PRECO 3%]]*0.08)+Tabela14[[#This Row],[PRECO 3%]]</f>
        <v>5.0111999999999997</v>
      </c>
      <c r="O185" s="34">
        <f>(Tabela14[[#This Row],[REGIÃO03-3%]]*0.06)+Tabela14[[#This Row],[REGIÃO03-3%]]</f>
        <v>5.3118719999999993</v>
      </c>
      <c r="P185" s="34">
        <f>(Tabela14[[#This Row],[PRECO 3%]]*0.06)+Tabela14[[#This Row],[PRECO 3%]]</f>
        <v>4.9184000000000001</v>
      </c>
      <c r="Q185" s="34">
        <f>(Tabela14[[#This Row],[REGIÃO04-3%]]*0.06)+Tabela14[[#This Row],[REGIÃO04-3%]]</f>
        <v>5.2135040000000004</v>
      </c>
    </row>
    <row r="186" spans="1:17" x14ac:dyDescent="0.25">
      <c r="A186">
        <v>417</v>
      </c>
      <c r="B186" t="s">
        <v>62</v>
      </c>
      <c r="C186" t="s">
        <v>37</v>
      </c>
      <c r="D186" t="s">
        <v>58</v>
      </c>
      <c r="E186" s="1" t="s">
        <v>322</v>
      </c>
      <c r="F186">
        <f>VLOOKUP(Tabela14[[#This Row],[ID_COD]],Tabela2[],6,0)</f>
        <v>86</v>
      </c>
      <c r="G186" t="s">
        <v>118</v>
      </c>
      <c r="H186" s="2">
        <v>5.38</v>
      </c>
      <c r="I186" s="34">
        <f>Tabela14[[#This Row],[PRECO 3%]]+(Tabela14[[#This Row],[PRECO 3%]]*0.06)</f>
        <v>5.7027999999999999</v>
      </c>
      <c r="J186" s="34"/>
      <c r="K186" s="34">
        <f>(Tabela14[[#This Row],[REGIÃO01-3%]]*0.06)+Tabela14[[#This Row],[REGIÃO01-3%]]</f>
        <v>0</v>
      </c>
      <c r="L186" s="34">
        <f>(Tabela14[[#This Row],[PRECO 3%]]*0.05)+Tabela14[[#This Row],[PRECO 3%]]</f>
        <v>5.649</v>
      </c>
      <c r="M186" s="34">
        <f>(Tabela14[[#This Row],[REGIÃO02 - 3%]]*0.06)+Tabela14[[#This Row],[REGIÃO02 - 3%]]</f>
        <v>5.98794</v>
      </c>
      <c r="N186" s="34">
        <f>(Tabela14[[#This Row],[PRECO 3%]]*0.08)+Tabela14[[#This Row],[PRECO 3%]]</f>
        <v>5.8103999999999996</v>
      </c>
      <c r="O186" s="34">
        <f>(Tabela14[[#This Row],[REGIÃO03-3%]]*0.06)+Tabela14[[#This Row],[REGIÃO03-3%]]</f>
        <v>6.1590239999999996</v>
      </c>
      <c r="P186" s="34">
        <f>(Tabela14[[#This Row],[PRECO 3%]]*0.06)+Tabela14[[#This Row],[PRECO 3%]]</f>
        <v>5.7027999999999999</v>
      </c>
      <c r="Q186" s="34">
        <f>(Tabela14[[#This Row],[REGIÃO04-3%]]*0.06)+Tabela14[[#This Row],[REGIÃO04-3%]]</f>
        <v>6.0449679999999999</v>
      </c>
    </row>
    <row r="187" spans="1:17" x14ac:dyDescent="0.25">
      <c r="A187">
        <v>418</v>
      </c>
      <c r="B187" t="s">
        <v>62</v>
      </c>
      <c r="C187" t="s">
        <v>52</v>
      </c>
      <c r="D187" t="s">
        <v>59</v>
      </c>
      <c r="E187" s="1" t="s">
        <v>322</v>
      </c>
      <c r="F187">
        <f>VLOOKUP(Tabela14[[#This Row],[ID_COD]],Tabela2[],6,0)</f>
        <v>90</v>
      </c>
      <c r="G187" t="s">
        <v>119</v>
      </c>
      <c r="H187" s="2">
        <v>6.41</v>
      </c>
      <c r="I187" s="34">
        <f>Tabela14[[#This Row],[PRECO 3%]]+(Tabela14[[#This Row],[PRECO 3%]]*0.06)</f>
        <v>6.7946</v>
      </c>
      <c r="J187" s="34"/>
      <c r="K187" s="34">
        <f>(Tabela14[[#This Row],[REGIÃO01-3%]]*0.06)+Tabela14[[#This Row],[REGIÃO01-3%]]</f>
        <v>0</v>
      </c>
      <c r="L187" s="34">
        <f>(Tabela14[[#This Row],[PRECO 3%]]*0.05)+Tabela14[[#This Row],[PRECO 3%]]</f>
        <v>6.7305000000000001</v>
      </c>
      <c r="M187" s="34">
        <f>(Tabela14[[#This Row],[REGIÃO02 - 3%]]*0.06)+Tabela14[[#This Row],[REGIÃO02 - 3%]]</f>
        <v>7.1343300000000003</v>
      </c>
      <c r="N187" s="34">
        <f>(Tabela14[[#This Row],[PRECO 3%]]*0.08)+Tabela14[[#This Row],[PRECO 3%]]</f>
        <v>6.9228000000000005</v>
      </c>
      <c r="O187" s="34">
        <f>(Tabela14[[#This Row],[REGIÃO03-3%]]*0.06)+Tabela14[[#This Row],[REGIÃO03-3%]]</f>
        <v>7.3381680000000005</v>
      </c>
      <c r="P187" s="34">
        <f>(Tabela14[[#This Row],[PRECO 3%]]*0.06)+Tabela14[[#This Row],[PRECO 3%]]</f>
        <v>6.7946</v>
      </c>
      <c r="Q187" s="34">
        <f>(Tabela14[[#This Row],[REGIÃO04-3%]]*0.06)+Tabela14[[#This Row],[REGIÃO04-3%]]</f>
        <v>7.2022760000000003</v>
      </c>
    </row>
    <row r="188" spans="1:17" x14ac:dyDescent="0.25">
      <c r="A188">
        <v>419</v>
      </c>
      <c r="B188" t="s">
        <v>62</v>
      </c>
      <c r="C188" t="s">
        <v>32</v>
      </c>
      <c r="D188" t="s">
        <v>58</v>
      </c>
      <c r="E188" s="1" t="s">
        <v>322</v>
      </c>
      <c r="F188">
        <f>VLOOKUP(Tabela14[[#This Row],[ID_COD]],Tabela2[],6,0)</f>
        <v>70</v>
      </c>
      <c r="G188" t="s">
        <v>136</v>
      </c>
      <c r="H188" s="2">
        <v>5.47</v>
      </c>
      <c r="I188" s="34">
        <f>Tabela14[[#This Row],[PRECO 3%]]+(Tabela14[[#This Row],[PRECO 3%]]*0.06)</f>
        <v>5.7981999999999996</v>
      </c>
      <c r="J188" s="34"/>
      <c r="K188" s="34">
        <f>(Tabela14[[#This Row],[REGIÃO01-3%]]*0.06)+Tabela14[[#This Row],[REGIÃO01-3%]]</f>
        <v>0</v>
      </c>
      <c r="L188" s="34">
        <f>(Tabela14[[#This Row],[PRECO 3%]]*0.05)+Tabela14[[#This Row],[PRECO 3%]]</f>
        <v>5.7435</v>
      </c>
      <c r="M188" s="34">
        <f>(Tabela14[[#This Row],[REGIÃO02 - 3%]]*0.06)+Tabela14[[#This Row],[REGIÃO02 - 3%]]</f>
        <v>6.0881100000000004</v>
      </c>
      <c r="N188" s="34">
        <f>(Tabela14[[#This Row],[PRECO 3%]]*0.08)+Tabela14[[#This Row],[PRECO 3%]]</f>
        <v>5.9075999999999995</v>
      </c>
      <c r="O188" s="34">
        <f>(Tabela14[[#This Row],[REGIÃO03-3%]]*0.06)+Tabela14[[#This Row],[REGIÃO03-3%]]</f>
        <v>6.2620559999999994</v>
      </c>
      <c r="P188" s="34">
        <f>(Tabela14[[#This Row],[PRECO 3%]]*0.06)+Tabela14[[#This Row],[PRECO 3%]]</f>
        <v>5.7981999999999996</v>
      </c>
      <c r="Q188" s="34">
        <f>(Tabela14[[#This Row],[REGIÃO04-3%]]*0.06)+Tabela14[[#This Row],[REGIÃO04-3%]]</f>
        <v>6.1460919999999994</v>
      </c>
    </row>
    <row r="189" spans="1:17" x14ac:dyDescent="0.25">
      <c r="A189">
        <v>420</v>
      </c>
      <c r="B189" t="s">
        <v>62</v>
      </c>
      <c r="C189" t="s">
        <v>47</v>
      </c>
      <c r="D189" t="s">
        <v>59</v>
      </c>
      <c r="E189" s="1" t="s">
        <v>322</v>
      </c>
      <c r="F189">
        <f>VLOOKUP(Tabela14[[#This Row],[ID_COD]],Tabela2[],6,0)</f>
        <v>66</v>
      </c>
      <c r="G189" t="s">
        <v>142</v>
      </c>
      <c r="H189" s="2">
        <v>6.57</v>
      </c>
      <c r="I189" s="34">
        <f>Tabela14[[#This Row],[PRECO 3%]]+(Tabela14[[#This Row],[PRECO 3%]]*0.06)</f>
        <v>6.9641999999999999</v>
      </c>
      <c r="J189" s="34"/>
      <c r="K189" s="34">
        <f>(Tabela14[[#This Row],[REGIÃO01-3%]]*0.06)+Tabela14[[#This Row],[REGIÃO01-3%]]</f>
        <v>0</v>
      </c>
      <c r="L189" s="34">
        <f>(Tabela14[[#This Row],[PRECO 3%]]*0.05)+Tabela14[[#This Row],[PRECO 3%]]</f>
        <v>6.8985000000000003</v>
      </c>
      <c r="M189" s="34">
        <f>(Tabela14[[#This Row],[REGIÃO02 - 3%]]*0.06)+Tabela14[[#This Row],[REGIÃO02 - 3%]]</f>
        <v>7.3124099999999999</v>
      </c>
      <c r="N189" s="34">
        <f>(Tabela14[[#This Row],[PRECO 3%]]*0.08)+Tabela14[[#This Row],[PRECO 3%]]</f>
        <v>7.0956000000000001</v>
      </c>
      <c r="O189" s="34">
        <f>(Tabela14[[#This Row],[REGIÃO03-3%]]*0.06)+Tabela14[[#This Row],[REGIÃO03-3%]]</f>
        <v>7.5213359999999998</v>
      </c>
      <c r="P189" s="34">
        <f>(Tabela14[[#This Row],[PRECO 3%]]*0.06)+Tabela14[[#This Row],[PRECO 3%]]</f>
        <v>6.9641999999999999</v>
      </c>
      <c r="Q189" s="34">
        <f>(Tabela14[[#This Row],[REGIÃO04-3%]]*0.06)+Tabela14[[#This Row],[REGIÃO04-3%]]</f>
        <v>7.3820519999999998</v>
      </c>
    </row>
    <row r="190" spans="1:17" x14ac:dyDescent="0.25">
      <c r="A190">
        <v>421</v>
      </c>
      <c r="B190" t="s">
        <v>62</v>
      </c>
      <c r="C190" t="s">
        <v>39</v>
      </c>
      <c r="D190" t="s">
        <v>58</v>
      </c>
      <c r="E190" s="1" t="s">
        <v>322</v>
      </c>
      <c r="F190">
        <f>VLOOKUP(Tabela14[[#This Row],[ID_COD]],Tabela2[],6,0)</f>
        <v>60</v>
      </c>
      <c r="G190" t="s">
        <v>144</v>
      </c>
      <c r="H190" s="2">
        <v>7.94</v>
      </c>
      <c r="I190" s="34">
        <f>Tabela14[[#This Row],[PRECO 3%]]+(Tabela14[[#This Row],[PRECO 3%]]*0.06)</f>
        <v>8.4164000000000012</v>
      </c>
      <c r="J190" s="34"/>
      <c r="K190" s="34">
        <f>(Tabela14[[#This Row],[REGIÃO01-3%]]*0.06)+Tabela14[[#This Row],[REGIÃO01-3%]]</f>
        <v>0</v>
      </c>
      <c r="L190" s="34">
        <f>(Tabela14[[#This Row],[PRECO 3%]]*0.05)+Tabela14[[#This Row],[PRECO 3%]]</f>
        <v>8.3369999999999997</v>
      </c>
      <c r="M190" s="34">
        <f>(Tabela14[[#This Row],[REGIÃO02 - 3%]]*0.06)+Tabela14[[#This Row],[REGIÃO02 - 3%]]</f>
        <v>8.8372200000000003</v>
      </c>
      <c r="N190" s="34">
        <f>(Tabela14[[#This Row],[PRECO 3%]]*0.08)+Tabela14[[#This Row],[PRECO 3%]]</f>
        <v>8.5752000000000006</v>
      </c>
      <c r="O190" s="34">
        <f>(Tabela14[[#This Row],[REGIÃO03-3%]]*0.06)+Tabela14[[#This Row],[REGIÃO03-3%]]</f>
        <v>9.0897120000000005</v>
      </c>
      <c r="P190" s="34">
        <f>(Tabela14[[#This Row],[PRECO 3%]]*0.06)+Tabela14[[#This Row],[PRECO 3%]]</f>
        <v>8.4164000000000012</v>
      </c>
      <c r="Q190" s="34">
        <f>(Tabela14[[#This Row],[REGIÃO04-3%]]*0.06)+Tabela14[[#This Row],[REGIÃO04-3%]]</f>
        <v>8.9213840000000015</v>
      </c>
    </row>
    <row r="191" spans="1:17" x14ac:dyDescent="0.25">
      <c r="A191">
        <v>422</v>
      </c>
      <c r="B191" t="s">
        <v>62</v>
      </c>
      <c r="C191" t="s">
        <v>54</v>
      </c>
      <c r="D191" t="s">
        <v>59</v>
      </c>
      <c r="E191" s="1" t="s">
        <v>322</v>
      </c>
      <c r="F191">
        <f>VLOOKUP(Tabela14[[#This Row],[ID_COD]],Tabela2[],6,0)</f>
        <v>70</v>
      </c>
      <c r="G191" t="s">
        <v>146</v>
      </c>
      <c r="H191" s="2">
        <v>9.3699999999999992</v>
      </c>
      <c r="I191" s="34">
        <f>Tabela14[[#This Row],[PRECO 3%]]+(Tabela14[[#This Row],[PRECO 3%]]*0.06)</f>
        <v>9.9321999999999999</v>
      </c>
      <c r="J191" s="34"/>
      <c r="K191" s="34">
        <f>(Tabela14[[#This Row],[REGIÃO01-3%]]*0.06)+Tabela14[[#This Row],[REGIÃO01-3%]]</f>
        <v>0</v>
      </c>
      <c r="L191" s="34">
        <f>(Tabela14[[#This Row],[PRECO 3%]]*0.05)+Tabela14[[#This Row],[PRECO 3%]]</f>
        <v>9.8384999999999998</v>
      </c>
      <c r="M191" s="34">
        <f>(Tabela14[[#This Row],[REGIÃO02 - 3%]]*0.06)+Tabela14[[#This Row],[REGIÃO02 - 3%]]</f>
        <v>10.42881</v>
      </c>
      <c r="N191" s="34">
        <f>(Tabela14[[#This Row],[PRECO 3%]]*0.08)+Tabela14[[#This Row],[PRECO 3%]]</f>
        <v>10.119599999999998</v>
      </c>
      <c r="O191" s="34">
        <f>(Tabela14[[#This Row],[REGIÃO03-3%]]*0.06)+Tabela14[[#This Row],[REGIÃO03-3%]]</f>
        <v>10.726775999999997</v>
      </c>
      <c r="P191" s="34">
        <f>(Tabela14[[#This Row],[PRECO 3%]]*0.06)+Tabela14[[#This Row],[PRECO 3%]]</f>
        <v>9.9321999999999999</v>
      </c>
      <c r="Q191" s="34">
        <f>(Tabela14[[#This Row],[REGIÃO04-3%]]*0.06)+Tabela14[[#This Row],[REGIÃO04-3%]]</f>
        <v>10.528131999999999</v>
      </c>
    </row>
    <row r="192" spans="1:17" x14ac:dyDescent="0.25">
      <c r="A192">
        <v>423</v>
      </c>
      <c r="B192" t="s">
        <v>62</v>
      </c>
      <c r="C192" t="s">
        <v>33</v>
      </c>
      <c r="D192" t="s">
        <v>58</v>
      </c>
      <c r="E192" s="1" t="s">
        <v>322</v>
      </c>
      <c r="F192">
        <f>VLOOKUP(Tabela14[[#This Row],[ID_COD]],Tabela2[],6,0)</f>
        <v>52</v>
      </c>
      <c r="G192" t="s">
        <v>150</v>
      </c>
      <c r="H192" s="2">
        <v>7.03</v>
      </c>
      <c r="I192" s="34">
        <f>Tabela14[[#This Row],[PRECO 3%]]+(Tabela14[[#This Row],[PRECO 3%]]*0.06)</f>
        <v>7.4518000000000004</v>
      </c>
      <c r="J192" s="34"/>
      <c r="K192" s="34">
        <f>(Tabela14[[#This Row],[REGIÃO01-3%]]*0.06)+Tabela14[[#This Row],[REGIÃO01-3%]]</f>
        <v>0</v>
      </c>
      <c r="L192" s="34">
        <f>(Tabela14[[#This Row],[PRECO 3%]]*0.05)+Tabela14[[#This Row],[PRECO 3%]]</f>
        <v>7.3815</v>
      </c>
      <c r="M192" s="34">
        <f>(Tabela14[[#This Row],[REGIÃO02 - 3%]]*0.06)+Tabela14[[#This Row],[REGIÃO02 - 3%]]</f>
        <v>7.8243900000000002</v>
      </c>
      <c r="N192" s="34">
        <f>(Tabela14[[#This Row],[PRECO 3%]]*0.08)+Tabela14[[#This Row],[PRECO 3%]]</f>
        <v>7.5924000000000005</v>
      </c>
      <c r="O192" s="34">
        <f>(Tabela14[[#This Row],[REGIÃO03-3%]]*0.06)+Tabela14[[#This Row],[REGIÃO03-3%]]</f>
        <v>8.0479440000000011</v>
      </c>
      <c r="P192" s="34">
        <f>(Tabela14[[#This Row],[PRECO 3%]]*0.06)+Tabela14[[#This Row],[PRECO 3%]]</f>
        <v>7.4518000000000004</v>
      </c>
      <c r="Q192" s="34">
        <f>(Tabela14[[#This Row],[REGIÃO04-3%]]*0.06)+Tabela14[[#This Row],[REGIÃO04-3%]]</f>
        <v>7.8989080000000005</v>
      </c>
    </row>
    <row r="193" spans="1:17" x14ac:dyDescent="0.25">
      <c r="A193">
        <v>424</v>
      </c>
      <c r="B193" t="s">
        <v>62</v>
      </c>
      <c r="C193" t="s">
        <v>48</v>
      </c>
      <c r="D193" t="s">
        <v>59</v>
      </c>
      <c r="E193" s="1" t="s">
        <v>322</v>
      </c>
      <c r="F193">
        <f>VLOOKUP(Tabela14[[#This Row],[ID_COD]],Tabela2[],6,0)</f>
        <v>48</v>
      </c>
      <c r="G193" t="s">
        <v>151</v>
      </c>
      <c r="H193" s="2">
        <v>8.4499999999999993</v>
      </c>
      <c r="I193" s="34">
        <f>Tabela14[[#This Row],[PRECO 3%]]+(Tabela14[[#This Row],[PRECO 3%]]*0.06)</f>
        <v>8.956999999999999</v>
      </c>
      <c r="J193" s="34"/>
      <c r="K193" s="34">
        <f>(Tabela14[[#This Row],[REGIÃO01-3%]]*0.06)+Tabela14[[#This Row],[REGIÃO01-3%]]</f>
        <v>0</v>
      </c>
      <c r="L193" s="34">
        <f>(Tabela14[[#This Row],[PRECO 3%]]*0.05)+Tabela14[[#This Row],[PRECO 3%]]</f>
        <v>8.8724999999999987</v>
      </c>
      <c r="M193" s="34">
        <f>(Tabela14[[#This Row],[REGIÃO02 - 3%]]*0.06)+Tabela14[[#This Row],[REGIÃO02 - 3%]]</f>
        <v>9.4048499999999979</v>
      </c>
      <c r="N193" s="34">
        <f>(Tabela14[[#This Row],[PRECO 3%]]*0.08)+Tabela14[[#This Row],[PRECO 3%]]</f>
        <v>9.1259999999999994</v>
      </c>
      <c r="O193" s="34">
        <f>(Tabela14[[#This Row],[REGIÃO03-3%]]*0.06)+Tabela14[[#This Row],[REGIÃO03-3%]]</f>
        <v>9.6735600000000002</v>
      </c>
      <c r="P193" s="34">
        <f>(Tabela14[[#This Row],[PRECO 3%]]*0.06)+Tabela14[[#This Row],[PRECO 3%]]</f>
        <v>8.956999999999999</v>
      </c>
      <c r="Q193" s="34">
        <f>(Tabela14[[#This Row],[REGIÃO04-3%]]*0.06)+Tabela14[[#This Row],[REGIÃO04-3%]]</f>
        <v>9.4944199999999981</v>
      </c>
    </row>
    <row r="194" spans="1:17" x14ac:dyDescent="0.25">
      <c r="A194">
        <v>425</v>
      </c>
      <c r="B194" t="s">
        <v>62</v>
      </c>
      <c r="C194" t="s">
        <v>40</v>
      </c>
      <c r="D194" t="s">
        <v>58</v>
      </c>
      <c r="E194" s="1" t="s">
        <v>322</v>
      </c>
      <c r="F194">
        <f>VLOOKUP(Tabela14[[#This Row],[ID_COD]],Tabela2[],6,0)</f>
        <v>44</v>
      </c>
      <c r="G194" t="s">
        <v>154</v>
      </c>
      <c r="H194" s="2">
        <v>10.3</v>
      </c>
      <c r="I194" s="34">
        <f>Tabela14[[#This Row],[PRECO 3%]]+(Tabela14[[#This Row],[PRECO 3%]]*0.06)</f>
        <v>10.918000000000001</v>
      </c>
      <c r="J194" s="34"/>
      <c r="K194" s="34">
        <f>(Tabela14[[#This Row],[REGIÃO01-3%]]*0.06)+Tabela14[[#This Row],[REGIÃO01-3%]]</f>
        <v>0</v>
      </c>
      <c r="L194" s="34">
        <f>(Tabela14[[#This Row],[PRECO 3%]]*0.05)+Tabela14[[#This Row],[PRECO 3%]]</f>
        <v>10.815000000000001</v>
      </c>
      <c r="M194" s="34">
        <f>(Tabela14[[#This Row],[REGIÃO02 - 3%]]*0.06)+Tabela14[[#This Row],[REGIÃO02 - 3%]]</f>
        <v>11.463900000000001</v>
      </c>
      <c r="N194" s="34">
        <f>(Tabela14[[#This Row],[PRECO 3%]]*0.08)+Tabela14[[#This Row],[PRECO 3%]]</f>
        <v>11.124000000000001</v>
      </c>
      <c r="O194" s="34">
        <f>(Tabela14[[#This Row],[REGIÃO03-3%]]*0.06)+Tabela14[[#This Row],[REGIÃO03-3%]]</f>
        <v>11.791440000000001</v>
      </c>
      <c r="P194" s="34">
        <f>(Tabela14[[#This Row],[PRECO 3%]]*0.06)+Tabela14[[#This Row],[PRECO 3%]]</f>
        <v>10.918000000000001</v>
      </c>
      <c r="Q194" s="34">
        <f>(Tabela14[[#This Row],[REGIÃO04-3%]]*0.06)+Tabela14[[#This Row],[REGIÃO04-3%]]</f>
        <v>11.573080000000001</v>
      </c>
    </row>
    <row r="195" spans="1:17" x14ac:dyDescent="0.25">
      <c r="A195">
        <v>426</v>
      </c>
      <c r="B195" t="s">
        <v>62</v>
      </c>
      <c r="C195" t="s">
        <v>55</v>
      </c>
      <c r="D195" t="s">
        <v>59</v>
      </c>
      <c r="E195" s="1" t="s">
        <v>322</v>
      </c>
      <c r="F195">
        <f>VLOOKUP(Tabela14[[#This Row],[ID_COD]],Tabela2[],6,0)</f>
        <v>60</v>
      </c>
      <c r="G195" t="s">
        <v>156</v>
      </c>
      <c r="H195" s="2">
        <v>12.03</v>
      </c>
      <c r="I195" s="34">
        <f>Tabela14[[#This Row],[PRECO 3%]]+(Tabela14[[#This Row],[PRECO 3%]]*0.06)</f>
        <v>12.751799999999999</v>
      </c>
      <c r="J195" s="34"/>
      <c r="K195" s="34">
        <f>(Tabela14[[#This Row],[REGIÃO01-3%]]*0.06)+Tabela14[[#This Row],[REGIÃO01-3%]]</f>
        <v>0</v>
      </c>
      <c r="L195" s="34">
        <f>(Tabela14[[#This Row],[PRECO 3%]]*0.05)+Tabela14[[#This Row],[PRECO 3%]]</f>
        <v>12.631499999999999</v>
      </c>
      <c r="M195" s="34">
        <f>(Tabela14[[#This Row],[REGIÃO02 - 3%]]*0.06)+Tabela14[[#This Row],[REGIÃO02 - 3%]]</f>
        <v>13.389389999999999</v>
      </c>
      <c r="N195" s="34">
        <f>(Tabela14[[#This Row],[PRECO 3%]]*0.08)+Tabela14[[#This Row],[PRECO 3%]]</f>
        <v>12.9924</v>
      </c>
      <c r="O195" s="34">
        <f>(Tabela14[[#This Row],[REGIÃO03-3%]]*0.06)+Tabela14[[#This Row],[REGIÃO03-3%]]</f>
        <v>13.771944</v>
      </c>
      <c r="P195" s="34">
        <f>(Tabela14[[#This Row],[PRECO 3%]]*0.06)+Tabela14[[#This Row],[PRECO 3%]]</f>
        <v>12.751799999999999</v>
      </c>
      <c r="Q195" s="34">
        <f>(Tabela14[[#This Row],[REGIÃO04-3%]]*0.06)+Tabela14[[#This Row],[REGIÃO04-3%]]</f>
        <v>13.516907999999999</v>
      </c>
    </row>
    <row r="196" spans="1:17" x14ac:dyDescent="0.25">
      <c r="A196">
        <v>427</v>
      </c>
      <c r="B196" t="s">
        <v>62</v>
      </c>
      <c r="C196" t="s">
        <v>35</v>
      </c>
      <c r="D196" t="s">
        <v>58</v>
      </c>
      <c r="E196" s="1" t="s">
        <v>322</v>
      </c>
      <c r="F196">
        <f>VLOOKUP(Tabela14[[#This Row],[ID_COD]],Tabela2[],6,0)</f>
        <v>42</v>
      </c>
      <c r="G196" t="s">
        <v>158</v>
      </c>
      <c r="H196">
        <v>10.74</v>
      </c>
      <c r="I196" s="34">
        <f>Tabela14[[#This Row],[PRECO 3%]]+(Tabela14[[#This Row],[PRECO 3%]]*0.06)</f>
        <v>11.384399999999999</v>
      </c>
      <c r="J196" s="34"/>
      <c r="K196" s="34">
        <f>(Tabela14[[#This Row],[REGIÃO01-3%]]*0.06)+Tabela14[[#This Row],[REGIÃO01-3%]]</f>
        <v>0</v>
      </c>
      <c r="L196" s="34">
        <f>(Tabela14[[#This Row],[PRECO 3%]]*0.05)+Tabela14[[#This Row],[PRECO 3%]]</f>
        <v>11.277000000000001</v>
      </c>
      <c r="M196" s="34">
        <f>(Tabela14[[#This Row],[REGIÃO02 - 3%]]*0.06)+Tabela14[[#This Row],[REGIÃO02 - 3%]]</f>
        <v>11.953620000000001</v>
      </c>
      <c r="N196" s="34">
        <f>(Tabela14[[#This Row],[PRECO 3%]]*0.08)+Tabela14[[#This Row],[PRECO 3%]]</f>
        <v>11.5992</v>
      </c>
      <c r="O196" s="34">
        <f>(Tabela14[[#This Row],[REGIÃO03-3%]]*0.06)+Tabela14[[#This Row],[REGIÃO03-3%]]</f>
        <v>12.295152</v>
      </c>
      <c r="P196" s="34">
        <f>(Tabela14[[#This Row],[PRECO 3%]]*0.06)+Tabela14[[#This Row],[PRECO 3%]]</f>
        <v>11.384399999999999</v>
      </c>
      <c r="Q196" s="34">
        <f>(Tabela14[[#This Row],[REGIÃO04-3%]]*0.06)+Tabela14[[#This Row],[REGIÃO04-3%]]</f>
        <v>12.067463999999999</v>
      </c>
    </row>
    <row r="197" spans="1:17" x14ac:dyDescent="0.25">
      <c r="A197">
        <v>428</v>
      </c>
      <c r="B197" t="s">
        <v>62</v>
      </c>
      <c r="C197" t="s">
        <v>50</v>
      </c>
      <c r="D197" t="s">
        <v>59</v>
      </c>
      <c r="E197" s="1" t="s">
        <v>322</v>
      </c>
      <c r="F197">
        <f>VLOOKUP(Tabela14[[#This Row],[ID_COD]],Tabela2[],6,0)</f>
        <v>32</v>
      </c>
      <c r="G197" t="s">
        <v>159</v>
      </c>
      <c r="H197" s="2">
        <v>12.58</v>
      </c>
      <c r="I197" s="34">
        <f>Tabela14[[#This Row],[PRECO 3%]]+(Tabela14[[#This Row],[PRECO 3%]]*0.06)</f>
        <v>13.3348</v>
      </c>
      <c r="J197" s="34"/>
      <c r="K197" s="34">
        <f>(Tabela14[[#This Row],[REGIÃO01-3%]]*0.06)+Tabela14[[#This Row],[REGIÃO01-3%]]</f>
        <v>0</v>
      </c>
      <c r="L197" s="34">
        <f>(Tabela14[[#This Row],[PRECO 3%]]*0.05)+Tabela14[[#This Row],[PRECO 3%]]</f>
        <v>13.209</v>
      </c>
      <c r="M197" s="34">
        <f>(Tabela14[[#This Row],[REGIÃO02 - 3%]]*0.06)+Tabela14[[#This Row],[REGIÃO02 - 3%]]</f>
        <v>14.00154</v>
      </c>
      <c r="N197" s="34">
        <f>(Tabela14[[#This Row],[PRECO 3%]]*0.08)+Tabela14[[#This Row],[PRECO 3%]]</f>
        <v>13.586399999999999</v>
      </c>
      <c r="O197" s="34">
        <f>(Tabela14[[#This Row],[REGIÃO03-3%]]*0.06)+Tabela14[[#This Row],[REGIÃO03-3%]]</f>
        <v>14.401584</v>
      </c>
      <c r="P197" s="34">
        <f>(Tabela14[[#This Row],[PRECO 3%]]*0.06)+Tabela14[[#This Row],[PRECO 3%]]</f>
        <v>13.3348</v>
      </c>
      <c r="Q197" s="34">
        <f>(Tabela14[[#This Row],[REGIÃO04-3%]]*0.06)+Tabela14[[#This Row],[REGIÃO04-3%]]</f>
        <v>14.134888</v>
      </c>
    </row>
    <row r="198" spans="1:17" x14ac:dyDescent="0.25">
      <c r="A198">
        <v>429</v>
      </c>
      <c r="B198" t="s">
        <v>62</v>
      </c>
      <c r="C198" t="s">
        <v>42</v>
      </c>
      <c r="D198" t="s">
        <v>58</v>
      </c>
      <c r="E198" s="1" t="s">
        <v>322</v>
      </c>
      <c r="F198">
        <f>VLOOKUP(Tabela14[[#This Row],[ID_COD]],Tabela2[],6,0)</f>
        <v>28</v>
      </c>
      <c r="G198" t="s">
        <v>162</v>
      </c>
      <c r="H198">
        <v>14.74</v>
      </c>
      <c r="I198" s="34">
        <f>Tabela14[[#This Row],[PRECO 3%]]+(Tabela14[[#This Row],[PRECO 3%]]*0.06)</f>
        <v>15.6244</v>
      </c>
      <c r="J198" s="34"/>
      <c r="K198" s="34">
        <f>(Tabela14[[#This Row],[REGIÃO01-3%]]*0.06)+Tabela14[[#This Row],[REGIÃO01-3%]]</f>
        <v>0</v>
      </c>
      <c r="L198" s="34">
        <f>(Tabela14[[#This Row],[PRECO 3%]]*0.05)+Tabela14[[#This Row],[PRECO 3%]]</f>
        <v>15.477</v>
      </c>
      <c r="M198" s="34">
        <f>(Tabela14[[#This Row],[REGIÃO02 - 3%]]*0.06)+Tabela14[[#This Row],[REGIÃO02 - 3%]]</f>
        <v>16.405619999999999</v>
      </c>
      <c r="N198" s="34">
        <f>(Tabela14[[#This Row],[PRECO 3%]]*0.08)+Tabela14[[#This Row],[PRECO 3%]]</f>
        <v>15.9192</v>
      </c>
      <c r="O198" s="34">
        <f>(Tabela14[[#This Row],[REGIÃO03-3%]]*0.06)+Tabela14[[#This Row],[REGIÃO03-3%]]</f>
        <v>16.874352000000002</v>
      </c>
      <c r="P198" s="34">
        <f>(Tabela14[[#This Row],[PRECO 3%]]*0.06)+Tabela14[[#This Row],[PRECO 3%]]</f>
        <v>15.6244</v>
      </c>
      <c r="Q198" s="34">
        <f>(Tabela14[[#This Row],[REGIÃO04-3%]]*0.06)+Tabela14[[#This Row],[REGIÃO04-3%]]</f>
        <v>16.561864</v>
      </c>
    </row>
    <row r="199" spans="1:17" x14ac:dyDescent="0.25">
      <c r="A199">
        <v>430</v>
      </c>
      <c r="B199" t="s">
        <v>62</v>
      </c>
      <c r="C199" t="s">
        <v>57</v>
      </c>
      <c r="D199" t="s">
        <v>59</v>
      </c>
      <c r="E199" s="1" t="s">
        <v>322</v>
      </c>
      <c r="F199">
        <f>VLOOKUP(Tabela14[[#This Row],[ID_COD]],Tabela2[],6,0)</f>
        <v>35</v>
      </c>
      <c r="G199" t="s">
        <v>163</v>
      </c>
      <c r="H199" s="2">
        <v>17.34</v>
      </c>
      <c r="I199" s="34">
        <f>Tabela14[[#This Row],[PRECO 3%]]+(Tabela14[[#This Row],[PRECO 3%]]*0.06)</f>
        <v>18.380400000000002</v>
      </c>
      <c r="J199" s="34"/>
      <c r="K199" s="34">
        <f>(Tabela14[[#This Row],[REGIÃO01-3%]]*0.06)+Tabela14[[#This Row],[REGIÃO01-3%]]</f>
        <v>0</v>
      </c>
      <c r="L199" s="34">
        <f>(Tabela14[[#This Row],[PRECO 3%]]*0.05)+Tabela14[[#This Row],[PRECO 3%]]</f>
        <v>18.207000000000001</v>
      </c>
      <c r="M199" s="34">
        <f>(Tabela14[[#This Row],[REGIÃO02 - 3%]]*0.06)+Tabela14[[#This Row],[REGIÃO02 - 3%]]</f>
        <v>19.299420000000001</v>
      </c>
      <c r="N199" s="34">
        <f>(Tabela14[[#This Row],[PRECO 3%]]*0.08)+Tabela14[[#This Row],[PRECO 3%]]</f>
        <v>18.7272</v>
      </c>
      <c r="O199" s="34">
        <f>(Tabela14[[#This Row],[REGIÃO03-3%]]*0.06)+Tabela14[[#This Row],[REGIÃO03-3%]]</f>
        <v>19.850832</v>
      </c>
      <c r="P199" s="34">
        <f>(Tabela14[[#This Row],[PRECO 3%]]*0.06)+Tabela14[[#This Row],[PRECO 3%]]</f>
        <v>18.380400000000002</v>
      </c>
      <c r="Q199" s="34">
        <f>(Tabela14[[#This Row],[REGIÃO04-3%]]*0.06)+Tabela14[[#This Row],[REGIÃO04-3%]]</f>
        <v>19.483224</v>
      </c>
    </row>
    <row r="200" spans="1:17" x14ac:dyDescent="0.25">
      <c r="A200">
        <v>474</v>
      </c>
      <c r="B200" t="s">
        <v>62</v>
      </c>
      <c r="C200" t="s">
        <v>38</v>
      </c>
      <c r="D200" t="s">
        <v>58</v>
      </c>
      <c r="E200" s="1" t="s">
        <v>322</v>
      </c>
      <c r="F200">
        <f>VLOOKUP(Tabela14[[#This Row],[ID_COD]],Tabela2[],6,0)</f>
        <v>70</v>
      </c>
      <c r="G200" t="s">
        <v>130</v>
      </c>
      <c r="H200" s="2">
        <v>6.78</v>
      </c>
      <c r="I200" s="34">
        <f>Tabela14[[#This Row],[PRECO 3%]]+(Tabela14[[#This Row],[PRECO 3%]]*0.06)</f>
        <v>7.1867999999999999</v>
      </c>
      <c r="J200" s="34"/>
      <c r="K200" s="34">
        <f>(Tabela14[[#This Row],[REGIÃO01-3%]]*0.06)+Tabela14[[#This Row],[REGIÃO01-3%]]</f>
        <v>0</v>
      </c>
      <c r="L200" s="34">
        <f>(Tabela14[[#This Row],[PRECO 3%]]*0.05)+Tabela14[[#This Row],[PRECO 3%]]</f>
        <v>7.1190000000000007</v>
      </c>
      <c r="M200" s="34">
        <f>(Tabela14[[#This Row],[REGIÃO02 - 3%]]*0.06)+Tabela14[[#This Row],[REGIÃO02 - 3%]]</f>
        <v>7.5461400000000003</v>
      </c>
      <c r="N200" s="34">
        <f>(Tabela14[[#This Row],[PRECO 3%]]*0.08)+Tabela14[[#This Row],[PRECO 3%]]</f>
        <v>7.3224</v>
      </c>
      <c r="O200" s="34">
        <f>(Tabela14[[#This Row],[REGIÃO03-3%]]*0.06)+Tabela14[[#This Row],[REGIÃO03-3%]]</f>
        <v>7.7617440000000002</v>
      </c>
      <c r="P200" s="34">
        <f>(Tabela14[[#This Row],[PRECO 3%]]*0.06)+Tabela14[[#This Row],[PRECO 3%]]</f>
        <v>7.1867999999999999</v>
      </c>
      <c r="Q200" s="34">
        <f>(Tabela14[[#This Row],[REGIÃO04-3%]]*0.06)+Tabela14[[#This Row],[REGIÃO04-3%]]</f>
        <v>7.6180079999999997</v>
      </c>
    </row>
    <row r="201" spans="1:17" x14ac:dyDescent="0.25">
      <c r="A201">
        <v>475</v>
      </c>
      <c r="B201" t="s">
        <v>62</v>
      </c>
      <c r="C201" t="s">
        <v>53</v>
      </c>
      <c r="D201" t="s">
        <v>59</v>
      </c>
      <c r="E201" s="1" t="s">
        <v>322</v>
      </c>
      <c r="F201">
        <f>VLOOKUP(Tabela14[[#This Row],[ID_COD]],Tabela2[],6,0)</f>
        <v>80</v>
      </c>
      <c r="G201" t="s">
        <v>131</v>
      </c>
      <c r="H201" s="2">
        <v>7.92</v>
      </c>
      <c r="I201" s="34">
        <f>Tabela14[[#This Row],[PRECO 3%]]+(Tabela14[[#This Row],[PRECO 3%]]*0.06)</f>
        <v>8.3951999999999991</v>
      </c>
      <c r="J201" s="34"/>
      <c r="K201" s="34">
        <f>(Tabela14[[#This Row],[REGIÃO01-3%]]*0.06)+Tabela14[[#This Row],[REGIÃO01-3%]]</f>
        <v>0</v>
      </c>
      <c r="L201" s="34">
        <f>(Tabela14[[#This Row],[PRECO 3%]]*0.05)+Tabela14[[#This Row],[PRECO 3%]]</f>
        <v>8.3160000000000007</v>
      </c>
      <c r="M201" s="34">
        <f>(Tabela14[[#This Row],[REGIÃO02 - 3%]]*0.06)+Tabela14[[#This Row],[REGIÃO02 - 3%]]</f>
        <v>8.814960000000001</v>
      </c>
      <c r="N201" s="34">
        <f>(Tabela14[[#This Row],[PRECO 3%]]*0.08)+Tabela14[[#This Row],[PRECO 3%]]</f>
        <v>8.5535999999999994</v>
      </c>
      <c r="O201" s="34">
        <f>(Tabela14[[#This Row],[REGIÃO03-3%]]*0.06)+Tabela14[[#This Row],[REGIÃO03-3%]]</f>
        <v>9.0668159999999993</v>
      </c>
      <c r="P201" s="34">
        <f>(Tabela14[[#This Row],[PRECO 3%]]*0.06)+Tabela14[[#This Row],[PRECO 3%]]</f>
        <v>8.3951999999999991</v>
      </c>
      <c r="Q201" s="34">
        <f>(Tabela14[[#This Row],[REGIÃO04-3%]]*0.06)+Tabela14[[#This Row],[REGIÃO04-3%]]</f>
        <v>8.8989119999999993</v>
      </c>
    </row>
    <row r="202" spans="1:17" x14ac:dyDescent="0.25">
      <c r="A202">
        <v>476</v>
      </c>
      <c r="B202" t="s">
        <v>62</v>
      </c>
      <c r="C202" t="s">
        <v>31</v>
      </c>
      <c r="D202" t="s">
        <v>58</v>
      </c>
      <c r="E202" s="1" t="s">
        <v>322</v>
      </c>
      <c r="F202">
        <f>VLOOKUP(Tabela14[[#This Row],[ID_COD]],Tabela2[],6,0)</f>
        <v>86</v>
      </c>
      <c r="G202" t="s">
        <v>125</v>
      </c>
      <c r="H202">
        <v>4.91</v>
      </c>
      <c r="I202" s="34">
        <f>Tabela14[[#This Row],[PRECO 3%]]+(Tabela14[[#This Row],[PRECO 3%]]*0.06)</f>
        <v>5.2046000000000001</v>
      </c>
      <c r="J202" s="34"/>
      <c r="K202" s="34">
        <f>(Tabela14[[#This Row],[REGIÃO01-3%]]*0.06)+Tabela14[[#This Row],[REGIÃO01-3%]]</f>
        <v>0</v>
      </c>
      <c r="L202" s="34">
        <f>(Tabela14[[#This Row],[PRECO 3%]]*0.05)+Tabela14[[#This Row],[PRECO 3%]]</f>
        <v>5.1555</v>
      </c>
      <c r="M202" s="34">
        <f>(Tabela14[[#This Row],[REGIÃO02 - 3%]]*0.06)+Tabela14[[#This Row],[REGIÃO02 - 3%]]</f>
        <v>5.4648300000000001</v>
      </c>
      <c r="N202" s="34">
        <f>(Tabela14[[#This Row],[PRECO 3%]]*0.08)+Tabela14[[#This Row],[PRECO 3%]]</f>
        <v>5.3028000000000004</v>
      </c>
      <c r="O202" s="34">
        <f>(Tabela14[[#This Row],[REGIÃO03-3%]]*0.06)+Tabela14[[#This Row],[REGIÃO03-3%]]</f>
        <v>5.6209680000000004</v>
      </c>
      <c r="P202" s="34">
        <f>(Tabela14[[#This Row],[PRECO 3%]]*0.06)+Tabela14[[#This Row],[PRECO 3%]]</f>
        <v>5.2046000000000001</v>
      </c>
      <c r="Q202" s="34">
        <f>(Tabela14[[#This Row],[REGIÃO04-3%]]*0.06)+Tabela14[[#This Row],[REGIÃO04-3%]]</f>
        <v>5.5168759999999999</v>
      </c>
    </row>
    <row r="203" spans="1:17" x14ac:dyDescent="0.25">
      <c r="A203">
        <v>477</v>
      </c>
      <c r="B203" t="s">
        <v>62</v>
      </c>
      <c r="C203" t="s">
        <v>46</v>
      </c>
      <c r="D203" t="s">
        <v>59</v>
      </c>
      <c r="E203" s="1" t="s">
        <v>322</v>
      </c>
      <c r="F203">
        <f>VLOOKUP(Tabela14[[#This Row],[ID_COD]],Tabela2[],6,0)</f>
        <v>85</v>
      </c>
      <c r="G203" t="s">
        <v>128</v>
      </c>
      <c r="H203" s="2">
        <v>5.74</v>
      </c>
      <c r="I203" s="34">
        <f>Tabela14[[#This Row],[PRECO 3%]]+(Tabela14[[#This Row],[PRECO 3%]]*0.06)</f>
        <v>6.0844000000000005</v>
      </c>
      <c r="J203" s="34"/>
      <c r="K203" s="34">
        <f>(Tabela14[[#This Row],[REGIÃO01-3%]]*0.06)+Tabela14[[#This Row],[REGIÃO01-3%]]</f>
        <v>0</v>
      </c>
      <c r="L203" s="34">
        <f>(Tabela14[[#This Row],[PRECO 3%]]*0.05)+Tabela14[[#This Row],[PRECO 3%]]</f>
        <v>6.0270000000000001</v>
      </c>
      <c r="M203" s="34">
        <f>(Tabela14[[#This Row],[REGIÃO02 - 3%]]*0.06)+Tabela14[[#This Row],[REGIÃO02 - 3%]]</f>
        <v>6.3886200000000004</v>
      </c>
      <c r="N203" s="34">
        <f>(Tabela14[[#This Row],[PRECO 3%]]*0.08)+Tabela14[[#This Row],[PRECO 3%]]</f>
        <v>6.1992000000000003</v>
      </c>
      <c r="O203" s="34">
        <f>(Tabela14[[#This Row],[REGIÃO03-3%]]*0.06)+Tabela14[[#This Row],[REGIÃO03-3%]]</f>
        <v>6.5711520000000005</v>
      </c>
      <c r="P203" s="34">
        <f>(Tabela14[[#This Row],[PRECO 3%]]*0.06)+Tabela14[[#This Row],[PRECO 3%]]</f>
        <v>6.0844000000000005</v>
      </c>
      <c r="Q203" s="34">
        <f>(Tabela14[[#This Row],[REGIÃO04-3%]]*0.06)+Tabela14[[#This Row],[REGIÃO04-3%]]</f>
        <v>6.4494640000000008</v>
      </c>
    </row>
    <row r="204" spans="1:17" x14ac:dyDescent="0.25">
      <c r="A204">
        <v>478</v>
      </c>
      <c r="B204" t="s">
        <v>27</v>
      </c>
      <c r="C204" t="s">
        <v>38</v>
      </c>
      <c r="D204" t="s">
        <v>58</v>
      </c>
      <c r="E204" s="1" t="s">
        <v>322</v>
      </c>
      <c r="F204" t="s">
        <v>695</v>
      </c>
      <c r="G204" t="s">
        <v>132</v>
      </c>
      <c r="H204" s="2">
        <v>6.78</v>
      </c>
      <c r="I204" s="34">
        <f>Tabela14[[#This Row],[PRECO 3%]]+(Tabela14[[#This Row],[PRECO 3%]]*0.06)</f>
        <v>7.1867999999999999</v>
      </c>
      <c r="J204" s="34"/>
      <c r="K204" s="34">
        <f>(Tabela14[[#This Row],[REGIÃO01-3%]]*0.06)+Tabela14[[#This Row],[REGIÃO01-3%]]</f>
        <v>0</v>
      </c>
      <c r="L204" s="34">
        <f>(Tabela14[[#This Row],[PRECO 3%]]*0.05)+Tabela14[[#This Row],[PRECO 3%]]</f>
        <v>7.1190000000000007</v>
      </c>
      <c r="M204" s="34">
        <f>(Tabela14[[#This Row],[REGIÃO02 - 3%]]*0.06)+Tabela14[[#This Row],[REGIÃO02 - 3%]]</f>
        <v>7.5461400000000003</v>
      </c>
      <c r="N204" s="34">
        <f>(Tabela14[[#This Row],[PRECO 3%]]*0.08)+Tabela14[[#This Row],[PRECO 3%]]</f>
        <v>7.3224</v>
      </c>
      <c r="O204" s="34">
        <f>(Tabela14[[#This Row],[REGIÃO03-3%]]*0.06)+Tabela14[[#This Row],[REGIÃO03-3%]]</f>
        <v>7.7617440000000002</v>
      </c>
      <c r="P204" s="34">
        <f>(Tabela14[[#This Row],[PRECO 3%]]*0.06)+Tabela14[[#This Row],[PRECO 3%]]</f>
        <v>7.1867999999999999</v>
      </c>
      <c r="Q204" s="34">
        <f>(Tabela14[[#This Row],[REGIÃO04-3%]]*0.06)+Tabela14[[#This Row],[REGIÃO04-3%]]</f>
        <v>7.6180079999999997</v>
      </c>
    </row>
    <row r="205" spans="1:17" x14ac:dyDescent="0.25">
      <c r="A205">
        <v>479</v>
      </c>
      <c r="B205" t="s">
        <v>27</v>
      </c>
      <c r="C205" t="s">
        <v>53</v>
      </c>
      <c r="D205" t="s">
        <v>59</v>
      </c>
      <c r="E205" s="1" t="s">
        <v>322</v>
      </c>
      <c r="F205">
        <f>VLOOKUP(Tabela14[[#This Row],[ID_COD]],Tabela2[],6,0)</f>
        <v>80</v>
      </c>
      <c r="G205" t="s">
        <v>133</v>
      </c>
      <c r="H205" s="2">
        <v>7.92</v>
      </c>
      <c r="I205" s="34">
        <f>Tabela14[[#This Row],[PRECO 3%]]+(Tabela14[[#This Row],[PRECO 3%]]*0.06)</f>
        <v>8.3951999999999991</v>
      </c>
      <c r="J205" s="34"/>
      <c r="K205" s="34">
        <f>(Tabela14[[#This Row],[REGIÃO01-3%]]*0.06)+Tabela14[[#This Row],[REGIÃO01-3%]]</f>
        <v>0</v>
      </c>
      <c r="L205" s="34">
        <f>(Tabela14[[#This Row],[PRECO 3%]]*0.05)+Tabela14[[#This Row],[PRECO 3%]]</f>
        <v>8.3160000000000007</v>
      </c>
      <c r="M205" s="34">
        <f>(Tabela14[[#This Row],[REGIÃO02 - 3%]]*0.06)+Tabela14[[#This Row],[REGIÃO02 - 3%]]</f>
        <v>8.814960000000001</v>
      </c>
      <c r="N205" s="34">
        <f>(Tabela14[[#This Row],[PRECO 3%]]*0.08)+Tabela14[[#This Row],[PRECO 3%]]</f>
        <v>8.5535999999999994</v>
      </c>
      <c r="O205" s="34">
        <f>(Tabela14[[#This Row],[REGIÃO03-3%]]*0.06)+Tabela14[[#This Row],[REGIÃO03-3%]]</f>
        <v>9.0668159999999993</v>
      </c>
      <c r="P205" s="34">
        <f>(Tabela14[[#This Row],[PRECO 3%]]*0.06)+Tabela14[[#This Row],[PRECO 3%]]</f>
        <v>8.3951999999999991</v>
      </c>
      <c r="Q205" s="34">
        <f>(Tabela14[[#This Row],[REGIÃO04-3%]]*0.06)+Tabela14[[#This Row],[REGIÃO04-3%]]</f>
        <v>8.8989119999999993</v>
      </c>
    </row>
    <row r="206" spans="1:17" x14ac:dyDescent="0.25">
      <c r="A206">
        <v>480</v>
      </c>
      <c r="B206" t="s">
        <v>27</v>
      </c>
      <c r="C206" t="s">
        <v>31</v>
      </c>
      <c r="D206" t="s">
        <v>58</v>
      </c>
      <c r="E206" s="1" t="s">
        <v>322</v>
      </c>
      <c r="F206" t="s">
        <v>700</v>
      </c>
      <c r="G206" t="s">
        <v>126</v>
      </c>
      <c r="H206" s="2">
        <v>4.91</v>
      </c>
      <c r="I206" s="34">
        <f>Tabela14[[#This Row],[PRECO 3%]]+(Tabela14[[#This Row],[PRECO 3%]]*0.06)</f>
        <v>5.2046000000000001</v>
      </c>
      <c r="J206" s="34"/>
      <c r="K206" s="34">
        <f>(Tabela14[[#This Row],[REGIÃO01-3%]]*0.06)+Tabela14[[#This Row],[REGIÃO01-3%]]</f>
        <v>0</v>
      </c>
      <c r="L206" s="34">
        <f>(Tabela14[[#This Row],[PRECO 3%]]*0.05)+Tabela14[[#This Row],[PRECO 3%]]</f>
        <v>5.1555</v>
      </c>
      <c r="M206" s="34">
        <f>(Tabela14[[#This Row],[REGIÃO02 - 3%]]*0.06)+Tabela14[[#This Row],[REGIÃO02 - 3%]]</f>
        <v>5.4648300000000001</v>
      </c>
      <c r="N206" s="34">
        <f>(Tabela14[[#This Row],[PRECO 3%]]*0.08)+Tabela14[[#This Row],[PRECO 3%]]</f>
        <v>5.3028000000000004</v>
      </c>
      <c r="O206" s="34">
        <f>(Tabela14[[#This Row],[REGIÃO03-3%]]*0.06)+Tabela14[[#This Row],[REGIÃO03-3%]]</f>
        <v>5.6209680000000004</v>
      </c>
      <c r="P206" s="34">
        <f>(Tabela14[[#This Row],[PRECO 3%]]*0.06)+Tabela14[[#This Row],[PRECO 3%]]</f>
        <v>5.2046000000000001</v>
      </c>
      <c r="Q206" s="34">
        <f>(Tabela14[[#This Row],[REGIÃO04-3%]]*0.06)+Tabela14[[#This Row],[REGIÃO04-3%]]</f>
        <v>5.5168759999999999</v>
      </c>
    </row>
    <row r="207" spans="1:17" x14ac:dyDescent="0.25">
      <c r="A207">
        <v>481</v>
      </c>
      <c r="B207" t="s">
        <v>27</v>
      </c>
      <c r="C207" t="s">
        <v>46</v>
      </c>
      <c r="D207" t="s">
        <v>59</v>
      </c>
      <c r="E207" s="1" t="s">
        <v>322</v>
      </c>
      <c r="F207">
        <f>VLOOKUP(Tabela14[[#This Row],[ID_COD]],Tabela2[],6,0)</f>
        <v>110</v>
      </c>
      <c r="G207" t="s">
        <v>127</v>
      </c>
      <c r="H207" s="2">
        <v>5.74</v>
      </c>
      <c r="I207" s="34">
        <f>Tabela14[[#This Row],[PRECO 3%]]+(Tabela14[[#This Row],[PRECO 3%]]*0.06)</f>
        <v>6.0844000000000005</v>
      </c>
      <c r="J207" s="34"/>
      <c r="K207" s="34">
        <f>(Tabela14[[#This Row],[REGIÃO01-3%]]*0.06)+Tabela14[[#This Row],[REGIÃO01-3%]]</f>
        <v>0</v>
      </c>
      <c r="L207" s="34">
        <f>(Tabela14[[#This Row],[PRECO 3%]]*0.05)+Tabela14[[#This Row],[PRECO 3%]]</f>
        <v>6.0270000000000001</v>
      </c>
      <c r="M207" s="34">
        <f>(Tabela14[[#This Row],[REGIÃO02 - 3%]]*0.06)+Tabela14[[#This Row],[REGIÃO02 - 3%]]</f>
        <v>6.3886200000000004</v>
      </c>
      <c r="N207" s="34">
        <f>(Tabela14[[#This Row],[PRECO 3%]]*0.08)+Tabela14[[#This Row],[PRECO 3%]]</f>
        <v>6.1992000000000003</v>
      </c>
      <c r="O207" s="34">
        <f>(Tabela14[[#This Row],[REGIÃO03-3%]]*0.06)+Tabela14[[#This Row],[REGIÃO03-3%]]</f>
        <v>6.5711520000000005</v>
      </c>
      <c r="P207" s="34">
        <f>(Tabela14[[#This Row],[PRECO 3%]]*0.06)+Tabela14[[#This Row],[PRECO 3%]]</f>
        <v>6.0844000000000005</v>
      </c>
      <c r="Q207" s="34">
        <f>(Tabela14[[#This Row],[REGIÃO04-3%]]*0.06)+Tabela14[[#This Row],[REGIÃO04-3%]]</f>
        <v>6.4494640000000008</v>
      </c>
    </row>
    <row r="208" spans="1:17" x14ac:dyDescent="0.25">
      <c r="A208">
        <v>495</v>
      </c>
      <c r="B208" s="6" t="s">
        <v>439</v>
      </c>
      <c r="C208" s="6" t="s">
        <v>439</v>
      </c>
      <c r="D208" s="6" t="s">
        <v>8</v>
      </c>
      <c r="F208" t="e">
        <f>VLOOKUP(Tabela14[[#This Row],[ID_COD]],Tabela2[],6,0)</f>
        <v>#N/A</v>
      </c>
      <c r="G208" t="s">
        <v>439</v>
      </c>
      <c r="H208" s="2">
        <v>40</v>
      </c>
      <c r="I208" s="34">
        <f>Tabela14[[#This Row],[PRECO 3%]]+(Tabela14[[#This Row],[PRECO 3%]]*0.06)</f>
        <v>42.4</v>
      </c>
      <c r="J208" s="34"/>
      <c r="K208" s="34">
        <f>(Tabela14[[#This Row],[REGIÃO01-3%]]*0.06)+Tabela14[[#This Row],[REGIÃO01-3%]]</f>
        <v>0</v>
      </c>
      <c r="L208" s="34">
        <f>(Tabela14[[#This Row],[PRECO 3%]]*0.05)+Tabela14[[#This Row],[PRECO 3%]]</f>
        <v>42</v>
      </c>
      <c r="M208" s="34">
        <f>(Tabela14[[#This Row],[REGIÃO02 - 3%]]*0.06)+Tabela14[[#This Row],[REGIÃO02 - 3%]]</f>
        <v>44.52</v>
      </c>
      <c r="N208" s="34">
        <f>(Tabela14[[#This Row],[PRECO 3%]]*0.08)+Tabela14[[#This Row],[PRECO 3%]]</f>
        <v>43.2</v>
      </c>
      <c r="O208" s="34">
        <f>(Tabela14[[#This Row],[REGIÃO03-3%]]*0.06)+Tabela14[[#This Row],[REGIÃO03-3%]]</f>
        <v>45.792000000000002</v>
      </c>
      <c r="P208" s="34">
        <f>(Tabela14[[#This Row],[PRECO 3%]]*0.06)+Tabela14[[#This Row],[PRECO 3%]]</f>
        <v>42.4</v>
      </c>
      <c r="Q208" s="34">
        <f>(Tabela14[[#This Row],[REGIÃO04-3%]]*0.06)+Tabela14[[#This Row],[REGIÃO04-3%]]</f>
        <v>44.943999999999996</v>
      </c>
    </row>
    <row r="209" spans="1:17" x14ac:dyDescent="0.25">
      <c r="A209">
        <v>730</v>
      </c>
      <c r="B209" t="s">
        <v>3</v>
      </c>
      <c r="C209" t="s">
        <v>68</v>
      </c>
      <c r="D209" t="s">
        <v>67</v>
      </c>
      <c r="E209" s="1" t="s">
        <v>322</v>
      </c>
      <c r="F209">
        <f>VLOOKUP(Tabela14[[#This Row],[ID_COD]],Tabela2[],6,0)</f>
        <v>900</v>
      </c>
      <c r="G209" t="s">
        <v>263</v>
      </c>
      <c r="H209" s="2" t="e">
        <v>#N/A</v>
      </c>
      <c r="I209" s="34" t="e">
        <f>Tabela14[[#This Row],[PRECO 3%]]+(Tabela14[[#This Row],[PRECO 3%]]*0.06)</f>
        <v>#N/A</v>
      </c>
      <c r="J209" s="34"/>
      <c r="K209" s="34">
        <f>(Tabela14[[#This Row],[REGIÃO01-3%]]*0.06)+Tabela14[[#This Row],[REGIÃO01-3%]]</f>
        <v>0</v>
      </c>
      <c r="L209" s="34" t="e">
        <f>(Tabela14[[#This Row],[PRECO 3%]]*0.05)+Tabela14[[#This Row],[PRECO 3%]]</f>
        <v>#N/A</v>
      </c>
      <c r="M209" s="34" t="e">
        <f>(Tabela14[[#This Row],[REGIÃO02 - 3%]]*0.06)+Tabela14[[#This Row],[REGIÃO02 - 3%]]</f>
        <v>#N/A</v>
      </c>
      <c r="N209" s="34" t="e">
        <f>(Tabela14[[#This Row],[PRECO 3%]]*0.08)+Tabela14[[#This Row],[PRECO 3%]]</f>
        <v>#N/A</v>
      </c>
      <c r="O209" s="34" t="e">
        <f>(Tabela14[[#This Row],[REGIÃO03-3%]]*0.06)+Tabela14[[#This Row],[REGIÃO03-3%]]</f>
        <v>#N/A</v>
      </c>
      <c r="P209" s="34" t="e">
        <f>(Tabela14[[#This Row],[PRECO 3%]]*0.06)+Tabela14[[#This Row],[PRECO 3%]]</f>
        <v>#N/A</v>
      </c>
      <c r="Q209" s="34" t="e">
        <f>(Tabela14[[#This Row],[REGIÃO04-3%]]*0.06)+Tabela14[[#This Row],[REGIÃO04-3%]]</f>
        <v>#N/A</v>
      </c>
    </row>
    <row r="210" spans="1:17" x14ac:dyDescent="0.25">
      <c r="A210">
        <v>731</v>
      </c>
      <c r="B210" t="s">
        <v>3</v>
      </c>
      <c r="C210" t="s">
        <v>66</v>
      </c>
      <c r="D210" t="s">
        <v>65</v>
      </c>
      <c r="E210" s="1" t="s">
        <v>322</v>
      </c>
      <c r="F210">
        <f>VLOOKUP(Tabela14[[#This Row],[ID_COD]],Tabela2[],6,0)</f>
        <v>1000</v>
      </c>
      <c r="G210" t="s">
        <v>260</v>
      </c>
      <c r="H210" s="2" t="e">
        <v>#N/A</v>
      </c>
      <c r="I210" s="34" t="e">
        <f>Tabela14[[#This Row],[PRECO 3%]]+(Tabela14[[#This Row],[PRECO 3%]]*0.06)</f>
        <v>#N/A</v>
      </c>
      <c r="J210" s="34"/>
      <c r="K210" s="34">
        <f>(Tabela14[[#This Row],[REGIÃO01-3%]]*0.06)+Tabela14[[#This Row],[REGIÃO01-3%]]</f>
        <v>0</v>
      </c>
      <c r="L210" s="34" t="e">
        <f>(Tabela14[[#This Row],[PRECO 3%]]*0.05)+Tabela14[[#This Row],[PRECO 3%]]</f>
        <v>#N/A</v>
      </c>
      <c r="M210" s="34" t="e">
        <f>(Tabela14[[#This Row],[REGIÃO02 - 3%]]*0.06)+Tabela14[[#This Row],[REGIÃO02 - 3%]]</f>
        <v>#N/A</v>
      </c>
      <c r="N210" s="34" t="e">
        <f>(Tabela14[[#This Row],[PRECO 3%]]*0.08)+Tabela14[[#This Row],[PRECO 3%]]</f>
        <v>#N/A</v>
      </c>
      <c r="O210" s="34" t="e">
        <f>(Tabela14[[#This Row],[REGIÃO03-3%]]*0.06)+Tabela14[[#This Row],[REGIÃO03-3%]]</f>
        <v>#N/A</v>
      </c>
      <c r="P210" s="34" t="e">
        <f>(Tabela14[[#This Row],[PRECO 3%]]*0.06)+Tabela14[[#This Row],[PRECO 3%]]</f>
        <v>#N/A</v>
      </c>
      <c r="Q210" s="34" t="e">
        <f>(Tabela14[[#This Row],[REGIÃO04-3%]]*0.06)+Tabela14[[#This Row],[REGIÃO04-3%]]</f>
        <v>#N/A</v>
      </c>
    </row>
    <row r="211" spans="1:17" x14ac:dyDescent="0.25">
      <c r="A211">
        <v>1209</v>
      </c>
      <c r="B211" t="s">
        <v>10</v>
      </c>
      <c r="C211" t="s">
        <v>13</v>
      </c>
      <c r="D211" t="s">
        <v>9</v>
      </c>
      <c r="E211" s="1" t="s">
        <v>322</v>
      </c>
      <c r="F211">
        <f>VLOOKUP(Tabela14[[#This Row],[ID_COD]],Tabela2[],6,0)</f>
        <v>12</v>
      </c>
      <c r="G211" t="s">
        <v>178</v>
      </c>
      <c r="H211" s="2">
        <v>86.5</v>
      </c>
      <c r="I211" s="34">
        <f>Tabela14[[#This Row],[PRECO 3%]]+(Tabela14[[#This Row],[PRECO 3%]]*0.06)</f>
        <v>91.69</v>
      </c>
      <c r="J211" s="34"/>
      <c r="K211" s="34">
        <f>(Tabela14[[#This Row],[REGIÃO01-3%]]*0.06)+Tabela14[[#This Row],[REGIÃO01-3%]]</f>
        <v>0</v>
      </c>
      <c r="L211" s="34">
        <f>(Tabela14[[#This Row],[PRECO 3%]]*0.05)+Tabela14[[#This Row],[PRECO 3%]]</f>
        <v>90.825000000000003</v>
      </c>
      <c r="M211" s="34">
        <f>(Tabela14[[#This Row],[REGIÃO02 - 3%]]*0.06)+Tabela14[[#This Row],[REGIÃO02 - 3%]]</f>
        <v>96.274500000000003</v>
      </c>
      <c r="N211" s="34">
        <f>(Tabela14[[#This Row],[PRECO 3%]]*0.08)+Tabela14[[#This Row],[PRECO 3%]]</f>
        <v>93.42</v>
      </c>
      <c r="O211" s="34">
        <f>(Tabela14[[#This Row],[REGIÃO03-3%]]*0.06)+Tabela14[[#This Row],[REGIÃO03-3%]]</f>
        <v>99.025199999999998</v>
      </c>
      <c r="P211" s="34">
        <f>(Tabela14[[#This Row],[PRECO 3%]]*0.06)+Tabela14[[#This Row],[PRECO 3%]]</f>
        <v>91.69</v>
      </c>
      <c r="Q211" s="34">
        <f>(Tabela14[[#This Row],[REGIÃO04-3%]]*0.06)+Tabela14[[#This Row],[REGIÃO04-3%]]</f>
        <v>97.191400000000002</v>
      </c>
    </row>
    <row r="212" spans="1:17" x14ac:dyDescent="0.25">
      <c r="A212">
        <v>1586</v>
      </c>
      <c r="B212" t="s">
        <v>10</v>
      </c>
      <c r="C212" t="s">
        <v>13</v>
      </c>
      <c r="D212" t="s">
        <v>4</v>
      </c>
      <c r="E212" s="1" t="s">
        <v>322</v>
      </c>
      <c r="F212">
        <f>VLOOKUP(Tabela14[[#This Row],[ID_COD]],Tabela2[],6,0)</f>
        <v>12</v>
      </c>
      <c r="G212" t="s">
        <v>177</v>
      </c>
      <c r="H212" s="2">
        <v>49.5</v>
      </c>
      <c r="I212" s="34">
        <f>Tabela14[[#This Row],[PRECO 3%]]+(Tabela14[[#This Row],[PRECO 3%]]*0.06)</f>
        <v>52.47</v>
      </c>
      <c r="J212" s="34"/>
      <c r="K212" s="34">
        <f>(Tabela14[[#This Row],[REGIÃO01-3%]]*0.06)+Tabela14[[#This Row],[REGIÃO01-3%]]</f>
        <v>0</v>
      </c>
      <c r="L212" s="34">
        <f>(Tabela14[[#This Row],[PRECO 3%]]*0.05)+Tabela14[[#This Row],[PRECO 3%]]</f>
        <v>51.975000000000001</v>
      </c>
      <c r="M212" s="34">
        <f>(Tabela14[[#This Row],[REGIÃO02 - 3%]]*0.06)+Tabela14[[#This Row],[REGIÃO02 - 3%]]</f>
        <v>55.093499999999999</v>
      </c>
      <c r="N212" s="34">
        <f>(Tabela14[[#This Row],[PRECO 3%]]*0.08)+Tabela14[[#This Row],[PRECO 3%]]</f>
        <v>53.46</v>
      </c>
      <c r="O212" s="34">
        <f>(Tabela14[[#This Row],[REGIÃO03-3%]]*0.06)+Tabela14[[#This Row],[REGIÃO03-3%]]</f>
        <v>56.6676</v>
      </c>
      <c r="P212" s="34">
        <f>(Tabela14[[#This Row],[PRECO 3%]]*0.06)+Tabela14[[#This Row],[PRECO 3%]]</f>
        <v>52.47</v>
      </c>
      <c r="Q212" s="34">
        <f>(Tabela14[[#This Row],[REGIÃO04-3%]]*0.06)+Tabela14[[#This Row],[REGIÃO04-3%]]</f>
        <v>55.618200000000002</v>
      </c>
    </row>
    <row r="213" spans="1:17" x14ac:dyDescent="0.25">
      <c r="A213">
        <v>1587</v>
      </c>
      <c r="B213" t="s">
        <v>10</v>
      </c>
      <c r="C213" t="s">
        <v>11</v>
      </c>
      <c r="D213" t="s">
        <v>4</v>
      </c>
      <c r="E213" s="1" t="s">
        <v>322</v>
      </c>
      <c r="F213">
        <f>VLOOKUP(Tabela14[[#This Row],[ID_COD]],Tabela2[],6,0)</f>
        <v>300</v>
      </c>
      <c r="G213" t="s">
        <v>175</v>
      </c>
      <c r="H213" s="2">
        <f>VLOOKUP(A213,'Tabela de preços'!A10:H97,8,FALSE)</f>
        <v>2.8839999999999999</v>
      </c>
      <c r="I213" s="34">
        <f>Tabela14[[#This Row],[PRECO 3%]]+(Tabela14[[#This Row],[PRECO 3%]]*0.06)</f>
        <v>3.0570399999999998</v>
      </c>
      <c r="J213" s="34"/>
      <c r="K213" s="34">
        <f>(Tabela14[[#This Row],[REGIÃO01-3%]]*0.06)+Tabela14[[#This Row],[REGIÃO01-3%]]</f>
        <v>0</v>
      </c>
      <c r="L213" s="34">
        <f>(Tabela14[[#This Row],[PRECO 3%]]*0.05)+Tabela14[[#This Row],[PRECO 3%]]</f>
        <v>3.0282</v>
      </c>
      <c r="M213" s="34">
        <f>(Tabela14[[#This Row],[REGIÃO02 - 3%]]*0.06)+Tabela14[[#This Row],[REGIÃO02 - 3%]]</f>
        <v>3.209892</v>
      </c>
      <c r="N213" s="34">
        <f>(Tabela14[[#This Row],[PRECO 3%]]*0.08)+Tabela14[[#This Row],[PRECO 3%]]</f>
        <v>3.1147199999999997</v>
      </c>
      <c r="O213" s="34">
        <f>(Tabela14[[#This Row],[REGIÃO03-3%]]*0.06)+Tabela14[[#This Row],[REGIÃO03-3%]]</f>
        <v>3.3016031999999997</v>
      </c>
      <c r="P213" s="34">
        <f>(Tabela14[[#This Row],[PRECO 3%]]*0.06)+Tabela14[[#This Row],[PRECO 3%]]</f>
        <v>3.0570399999999998</v>
      </c>
      <c r="Q213" s="34">
        <f>(Tabela14[[#This Row],[REGIÃO04-3%]]*0.06)+Tabela14[[#This Row],[REGIÃO04-3%]]</f>
        <v>3.2404623999999997</v>
      </c>
    </row>
    <row r="214" spans="1:17" x14ac:dyDescent="0.25">
      <c r="A214">
        <v>1588</v>
      </c>
      <c r="B214" t="s">
        <v>10</v>
      </c>
      <c r="C214" t="s">
        <v>12</v>
      </c>
      <c r="D214" t="s">
        <v>4</v>
      </c>
      <c r="E214" s="1" t="s">
        <v>322</v>
      </c>
      <c r="F214">
        <f>VLOOKUP(Tabela14[[#This Row],[ID_COD]],Tabela2[],6,0)</f>
        <v>150</v>
      </c>
      <c r="G214" t="s">
        <v>106</v>
      </c>
      <c r="H214" s="2">
        <f>VLOOKUP(A214,'Tabela de preços'!A11:H98,8,FALSE)</f>
        <v>5.3353999999999999</v>
      </c>
      <c r="I214" s="34">
        <f>Tabela14[[#This Row],[PRECO 3%]]+(Tabela14[[#This Row],[PRECO 3%]]*0.06)</f>
        <v>5.6555239999999998</v>
      </c>
      <c r="J214" s="34"/>
      <c r="K214" s="34">
        <f>(Tabela14[[#This Row],[REGIÃO01-3%]]*0.06)+Tabela14[[#This Row],[REGIÃO01-3%]]</f>
        <v>0</v>
      </c>
      <c r="L214" s="34">
        <f>(Tabela14[[#This Row],[PRECO 3%]]*0.05)+Tabela14[[#This Row],[PRECO 3%]]</f>
        <v>5.6021700000000001</v>
      </c>
      <c r="M214" s="34">
        <f>(Tabela14[[#This Row],[REGIÃO02 - 3%]]*0.06)+Tabela14[[#This Row],[REGIÃO02 - 3%]]</f>
        <v>5.9383002000000005</v>
      </c>
      <c r="N214" s="34">
        <f>(Tabela14[[#This Row],[PRECO 3%]]*0.08)+Tabela14[[#This Row],[PRECO 3%]]</f>
        <v>5.762232</v>
      </c>
      <c r="O214" s="34">
        <f>(Tabela14[[#This Row],[REGIÃO03-3%]]*0.06)+Tabela14[[#This Row],[REGIÃO03-3%]]</f>
        <v>6.1079659199999998</v>
      </c>
      <c r="P214" s="34">
        <f>(Tabela14[[#This Row],[PRECO 3%]]*0.06)+Tabela14[[#This Row],[PRECO 3%]]</f>
        <v>5.6555239999999998</v>
      </c>
      <c r="Q214" s="34">
        <f>(Tabela14[[#This Row],[REGIÃO04-3%]]*0.06)+Tabela14[[#This Row],[REGIÃO04-3%]]</f>
        <v>5.9948554399999994</v>
      </c>
    </row>
    <row r="215" spans="1:17" x14ac:dyDescent="0.25">
      <c r="A215">
        <v>1589</v>
      </c>
      <c r="B215" t="s">
        <v>27</v>
      </c>
      <c r="C215" t="s">
        <v>30</v>
      </c>
      <c r="D215" t="s">
        <v>28</v>
      </c>
      <c r="E215" s="1" t="s">
        <v>322</v>
      </c>
      <c r="F215" t="e">
        <f>VLOOKUP(Tabela14[[#This Row],[ID_COD]],Tabela2[],6,0)</f>
        <v>#N/A</v>
      </c>
      <c r="G215" t="s">
        <v>111</v>
      </c>
      <c r="H215" s="2">
        <v>4.29</v>
      </c>
      <c r="I215" s="34">
        <f>Tabela14[[#This Row],[PRECO 3%]]+(Tabela14[[#This Row],[PRECO 3%]]*0.06)</f>
        <v>4.5473999999999997</v>
      </c>
      <c r="J215" s="34"/>
      <c r="K215" s="34">
        <f>(Tabela14[[#This Row],[REGIÃO01-3%]]*0.06)+Tabela14[[#This Row],[REGIÃO01-3%]]</f>
        <v>0</v>
      </c>
      <c r="L215" s="34">
        <f>(Tabela14[[#This Row],[PRECO 3%]]*0.05)+Tabela14[[#This Row],[PRECO 3%]]</f>
        <v>4.5045000000000002</v>
      </c>
      <c r="M215" s="34">
        <f>(Tabela14[[#This Row],[REGIÃO02 - 3%]]*0.06)+Tabela14[[#This Row],[REGIÃO02 - 3%]]</f>
        <v>4.7747700000000002</v>
      </c>
      <c r="N215" s="34">
        <f>(Tabela14[[#This Row],[PRECO 3%]]*0.08)+Tabela14[[#This Row],[PRECO 3%]]</f>
        <v>4.6332000000000004</v>
      </c>
      <c r="O215" s="34">
        <f>(Tabela14[[#This Row],[REGIÃO03-3%]]*0.06)+Tabela14[[#This Row],[REGIÃO03-3%]]</f>
        <v>4.9111920000000007</v>
      </c>
      <c r="P215" s="34">
        <f>(Tabela14[[#This Row],[PRECO 3%]]*0.06)+Tabela14[[#This Row],[PRECO 3%]]</f>
        <v>4.5473999999999997</v>
      </c>
      <c r="Q215" s="34">
        <f>(Tabela14[[#This Row],[REGIÃO04-3%]]*0.06)+Tabela14[[#This Row],[REGIÃO04-3%]]</f>
        <v>4.8202439999999998</v>
      </c>
    </row>
    <row r="216" spans="1:17" x14ac:dyDescent="0.25">
      <c r="A216" s="6">
        <v>1589</v>
      </c>
      <c r="B216" s="6" t="s">
        <v>370</v>
      </c>
      <c r="C216" s="6" t="s">
        <v>374</v>
      </c>
      <c r="D216" s="6" t="s">
        <v>372</v>
      </c>
      <c r="E216" s="1" t="s">
        <v>375</v>
      </c>
      <c r="F216" t="s">
        <v>4</v>
      </c>
      <c r="H216" s="25">
        <v>4.2876000000000003</v>
      </c>
      <c r="I216" s="34">
        <f>Tabela14[[#This Row],[PRECO 3%]]+(Tabela14[[#This Row],[PRECO 3%]]*0.06)</f>
        <v>4.5448560000000002</v>
      </c>
      <c r="J216" s="34"/>
      <c r="K216" s="34">
        <f>(Tabela14[[#This Row],[REGIÃO01-3%]]*0.06)+Tabela14[[#This Row],[REGIÃO01-3%]]</f>
        <v>0</v>
      </c>
      <c r="L216" s="34">
        <f>(Tabela14[[#This Row],[PRECO 3%]]*0.05)+Tabela14[[#This Row],[PRECO 3%]]</f>
        <v>4.5019800000000005</v>
      </c>
      <c r="M216" s="34">
        <f>(Tabela14[[#This Row],[REGIÃO02 - 3%]]*0.06)+Tabela14[[#This Row],[REGIÃO02 - 3%]]</f>
        <v>4.7720988000000002</v>
      </c>
      <c r="N216" s="34">
        <f>(Tabela14[[#This Row],[PRECO 3%]]*0.08)+Tabela14[[#This Row],[PRECO 3%]]</f>
        <v>4.6306080000000005</v>
      </c>
      <c r="O216" s="34">
        <f>(Tabela14[[#This Row],[REGIÃO03-3%]]*0.06)+Tabela14[[#This Row],[REGIÃO03-3%]]</f>
        <v>4.9084444800000009</v>
      </c>
      <c r="P216" s="34">
        <f>(Tabela14[[#This Row],[PRECO 3%]]*0.06)+Tabela14[[#This Row],[PRECO 3%]]</f>
        <v>4.5448560000000002</v>
      </c>
      <c r="Q216" s="34">
        <f>(Tabela14[[#This Row],[REGIÃO04-3%]]*0.06)+Tabela14[[#This Row],[REGIÃO04-3%]]</f>
        <v>4.8175473599999998</v>
      </c>
    </row>
    <row r="217" spans="1:17" x14ac:dyDescent="0.25">
      <c r="A217">
        <v>1590</v>
      </c>
      <c r="B217" t="s">
        <v>27</v>
      </c>
      <c r="C217" t="s">
        <v>31</v>
      </c>
      <c r="D217" t="s">
        <v>28</v>
      </c>
      <c r="E217" s="1" t="s">
        <v>322</v>
      </c>
      <c r="F217" t="e">
        <f>VLOOKUP(Tabela14[[#This Row],[ID_COD]],Tabela2[],6,0)</f>
        <v>#N/A</v>
      </c>
      <c r="G217" t="s">
        <v>126</v>
      </c>
      <c r="H217" s="2">
        <v>5.3</v>
      </c>
      <c r="I217" s="34">
        <f>Tabela14[[#This Row],[PRECO 3%]]+(Tabela14[[#This Row],[PRECO 3%]]*0.06)</f>
        <v>5.6179999999999994</v>
      </c>
      <c r="J217" s="34"/>
      <c r="K217" s="34">
        <f>(Tabela14[[#This Row],[REGIÃO01-3%]]*0.06)+Tabela14[[#This Row],[REGIÃO01-3%]]</f>
        <v>0</v>
      </c>
      <c r="L217" s="34">
        <f>(Tabela14[[#This Row],[PRECO 3%]]*0.05)+Tabela14[[#This Row],[PRECO 3%]]</f>
        <v>5.5649999999999995</v>
      </c>
      <c r="M217" s="34">
        <f>(Tabela14[[#This Row],[REGIÃO02 - 3%]]*0.06)+Tabela14[[#This Row],[REGIÃO02 - 3%]]</f>
        <v>5.8988999999999994</v>
      </c>
      <c r="N217" s="34">
        <f>(Tabela14[[#This Row],[PRECO 3%]]*0.08)+Tabela14[[#This Row],[PRECO 3%]]</f>
        <v>5.7240000000000002</v>
      </c>
      <c r="O217" s="34">
        <f>(Tabela14[[#This Row],[REGIÃO03-3%]]*0.06)+Tabela14[[#This Row],[REGIÃO03-3%]]</f>
        <v>6.0674400000000004</v>
      </c>
      <c r="P217" s="34">
        <f>(Tabela14[[#This Row],[PRECO 3%]]*0.06)+Tabela14[[#This Row],[PRECO 3%]]</f>
        <v>5.6179999999999994</v>
      </c>
      <c r="Q217" s="34">
        <f>(Tabela14[[#This Row],[REGIÃO04-3%]]*0.06)+Tabela14[[#This Row],[REGIÃO04-3%]]</f>
        <v>5.9550799999999997</v>
      </c>
    </row>
    <row r="218" spans="1:17" x14ac:dyDescent="0.25">
      <c r="A218" s="6">
        <v>1590</v>
      </c>
      <c r="B218" s="6" t="s">
        <v>370</v>
      </c>
      <c r="C218" s="6" t="s">
        <v>376</v>
      </c>
      <c r="D218" s="6" t="s">
        <v>372</v>
      </c>
      <c r="E218" s="1" t="s">
        <v>375</v>
      </c>
      <c r="F218" t="s">
        <v>4</v>
      </c>
      <c r="H218" s="25">
        <v>5.3028000000000004</v>
      </c>
      <c r="I218" s="34">
        <f>Tabela14[[#This Row],[PRECO 3%]]+(Tabela14[[#This Row],[PRECO 3%]]*0.06)</f>
        <v>5.6209680000000004</v>
      </c>
      <c r="J218" s="34"/>
      <c r="K218" s="34">
        <f>(Tabela14[[#This Row],[REGIÃO01-3%]]*0.06)+Tabela14[[#This Row],[REGIÃO01-3%]]</f>
        <v>0</v>
      </c>
      <c r="L218" s="34">
        <f>(Tabela14[[#This Row],[PRECO 3%]]*0.05)+Tabela14[[#This Row],[PRECO 3%]]</f>
        <v>5.5679400000000001</v>
      </c>
      <c r="M218" s="34">
        <f>(Tabela14[[#This Row],[REGIÃO02 - 3%]]*0.06)+Tabela14[[#This Row],[REGIÃO02 - 3%]]</f>
        <v>5.9020163999999999</v>
      </c>
      <c r="N218" s="34">
        <f>(Tabela14[[#This Row],[PRECO 3%]]*0.08)+Tabela14[[#This Row],[PRECO 3%]]</f>
        <v>5.7270240000000001</v>
      </c>
      <c r="O218" s="34">
        <f>(Tabela14[[#This Row],[REGIÃO03-3%]]*0.06)+Tabela14[[#This Row],[REGIÃO03-3%]]</f>
        <v>6.0706454399999998</v>
      </c>
      <c r="P218" s="34">
        <f>(Tabela14[[#This Row],[PRECO 3%]]*0.06)+Tabela14[[#This Row],[PRECO 3%]]</f>
        <v>5.6209680000000004</v>
      </c>
      <c r="Q218" s="34">
        <f>(Tabela14[[#This Row],[REGIÃO04-3%]]*0.06)+Tabela14[[#This Row],[REGIÃO04-3%]]</f>
        <v>5.9582260800000002</v>
      </c>
    </row>
    <row r="219" spans="1:17" x14ac:dyDescent="0.25">
      <c r="A219">
        <v>1592</v>
      </c>
      <c r="B219" t="s">
        <v>27</v>
      </c>
      <c r="C219" t="s">
        <v>32</v>
      </c>
      <c r="D219" t="s">
        <v>28</v>
      </c>
      <c r="E219" s="6">
        <v>90</v>
      </c>
      <c r="F219" t="e">
        <f>VLOOKUP(Tabela14[[#This Row],[ID_COD]],Tabela2[],6,0)</f>
        <v>#N/A</v>
      </c>
      <c r="G219" t="s">
        <v>81</v>
      </c>
      <c r="H219" s="2">
        <v>6.08</v>
      </c>
      <c r="I219" s="34">
        <f>Tabela14[[#This Row],[PRECO 3%]]+(Tabela14[[#This Row],[PRECO 3%]]*0.06)</f>
        <v>6.4447999999999999</v>
      </c>
      <c r="J219" s="34"/>
      <c r="K219" s="34">
        <f>(Tabela14[[#This Row],[REGIÃO01-3%]]*0.06)+Tabela14[[#This Row],[REGIÃO01-3%]]</f>
        <v>0</v>
      </c>
      <c r="L219" s="34">
        <f>(Tabela14[[#This Row],[PRECO 3%]]*0.05)+Tabela14[[#This Row],[PRECO 3%]]</f>
        <v>6.3840000000000003</v>
      </c>
      <c r="M219" s="34">
        <f>(Tabela14[[#This Row],[REGIÃO02 - 3%]]*0.06)+Tabela14[[#This Row],[REGIÃO02 - 3%]]</f>
        <v>6.7670400000000006</v>
      </c>
      <c r="N219" s="34">
        <f>(Tabela14[[#This Row],[PRECO 3%]]*0.08)+Tabela14[[#This Row],[PRECO 3%]]</f>
        <v>6.5663999999999998</v>
      </c>
      <c r="O219" s="34">
        <f>(Tabela14[[#This Row],[REGIÃO03-3%]]*0.06)+Tabela14[[#This Row],[REGIÃO03-3%]]</f>
        <v>6.9603839999999995</v>
      </c>
      <c r="P219" s="34">
        <f>(Tabela14[[#This Row],[PRECO 3%]]*0.06)+Tabela14[[#This Row],[PRECO 3%]]</f>
        <v>6.4447999999999999</v>
      </c>
      <c r="Q219" s="34">
        <f>(Tabela14[[#This Row],[REGIÃO04-3%]]*0.06)+Tabela14[[#This Row],[REGIÃO04-3%]]</f>
        <v>6.8314880000000002</v>
      </c>
    </row>
    <row r="220" spans="1:17" x14ac:dyDescent="0.25">
      <c r="A220" s="6">
        <v>1592</v>
      </c>
      <c r="B220" s="6" t="s">
        <v>370</v>
      </c>
      <c r="C220" s="6" t="s">
        <v>377</v>
      </c>
      <c r="D220" s="6" t="s">
        <v>372</v>
      </c>
      <c r="E220" s="1" t="s">
        <v>378</v>
      </c>
      <c r="F220" t="s">
        <v>4</v>
      </c>
      <c r="H220" s="25">
        <v>6.0804</v>
      </c>
      <c r="I220" s="34">
        <f>Tabela14[[#This Row],[PRECO 3%]]+(Tabela14[[#This Row],[PRECO 3%]]*0.06)</f>
        <v>6.4452239999999996</v>
      </c>
      <c r="J220" s="34"/>
      <c r="K220" s="34">
        <f>(Tabela14[[#This Row],[REGIÃO01-3%]]*0.06)+Tabela14[[#This Row],[REGIÃO01-3%]]</f>
        <v>0</v>
      </c>
      <c r="L220" s="34">
        <f>(Tabela14[[#This Row],[PRECO 3%]]*0.05)+Tabela14[[#This Row],[PRECO 3%]]</f>
        <v>6.3844200000000004</v>
      </c>
      <c r="M220" s="34">
        <f>(Tabela14[[#This Row],[REGIÃO02 - 3%]]*0.06)+Tabela14[[#This Row],[REGIÃO02 - 3%]]</f>
        <v>6.7674852000000003</v>
      </c>
      <c r="N220" s="34">
        <f>(Tabela14[[#This Row],[PRECO 3%]]*0.08)+Tabela14[[#This Row],[PRECO 3%]]</f>
        <v>6.5668319999999998</v>
      </c>
      <c r="O220" s="34">
        <f>(Tabela14[[#This Row],[REGIÃO03-3%]]*0.06)+Tabela14[[#This Row],[REGIÃO03-3%]]</f>
        <v>6.96084192</v>
      </c>
      <c r="P220" s="34">
        <f>(Tabela14[[#This Row],[PRECO 3%]]*0.06)+Tabela14[[#This Row],[PRECO 3%]]</f>
        <v>6.4452239999999996</v>
      </c>
      <c r="Q220" s="34">
        <f>(Tabela14[[#This Row],[REGIÃO04-3%]]*0.06)+Tabela14[[#This Row],[REGIÃO04-3%]]</f>
        <v>6.8319374399999999</v>
      </c>
    </row>
    <row r="221" spans="1:17" x14ac:dyDescent="0.25">
      <c r="A221">
        <v>1593</v>
      </c>
      <c r="B221" t="s">
        <v>27</v>
      </c>
      <c r="C221" t="s">
        <v>33</v>
      </c>
      <c r="D221" t="s">
        <v>28</v>
      </c>
      <c r="E221" s="1" t="s">
        <v>322</v>
      </c>
      <c r="F221" t="e">
        <f>VLOOKUP(Tabela14[[#This Row],[ID_COD]],Tabela2[],6,0)</f>
        <v>#N/A</v>
      </c>
      <c r="G221" t="s">
        <v>88</v>
      </c>
      <c r="H221" s="2">
        <v>7.83</v>
      </c>
      <c r="I221" s="34">
        <f>Tabela14[[#This Row],[PRECO 3%]]+(Tabela14[[#This Row],[PRECO 3%]]*0.06)</f>
        <v>8.2997999999999994</v>
      </c>
      <c r="J221" s="34"/>
      <c r="K221" s="34">
        <f>(Tabela14[[#This Row],[REGIÃO01-3%]]*0.06)+Tabela14[[#This Row],[REGIÃO01-3%]]</f>
        <v>0</v>
      </c>
      <c r="L221" s="34">
        <f>(Tabela14[[#This Row],[PRECO 3%]]*0.05)+Tabela14[[#This Row],[PRECO 3%]]</f>
        <v>8.2215000000000007</v>
      </c>
      <c r="M221" s="34">
        <f>(Tabela14[[#This Row],[REGIÃO02 - 3%]]*0.06)+Tabela14[[#This Row],[REGIÃO02 - 3%]]</f>
        <v>8.7147900000000007</v>
      </c>
      <c r="N221" s="34">
        <f>(Tabela14[[#This Row],[PRECO 3%]]*0.08)+Tabela14[[#This Row],[PRECO 3%]]</f>
        <v>8.4564000000000004</v>
      </c>
      <c r="O221" s="34">
        <f>(Tabela14[[#This Row],[REGIÃO03-3%]]*0.06)+Tabela14[[#This Row],[REGIÃO03-3%]]</f>
        <v>8.9637840000000004</v>
      </c>
      <c r="P221" s="34">
        <f>(Tabela14[[#This Row],[PRECO 3%]]*0.06)+Tabela14[[#This Row],[PRECO 3%]]</f>
        <v>8.2997999999999994</v>
      </c>
      <c r="Q221" s="34">
        <f>(Tabela14[[#This Row],[REGIÃO04-3%]]*0.06)+Tabela14[[#This Row],[REGIÃO04-3%]]</f>
        <v>8.7977879999999988</v>
      </c>
    </row>
    <row r="222" spans="1:17" x14ac:dyDescent="0.25">
      <c r="A222" s="6">
        <v>1593</v>
      </c>
      <c r="B222" s="6" t="s">
        <v>370</v>
      </c>
      <c r="C222" s="6" t="s">
        <v>379</v>
      </c>
      <c r="D222" s="6" t="s">
        <v>372</v>
      </c>
      <c r="E222" s="1" t="s">
        <v>380</v>
      </c>
      <c r="F222" t="s">
        <v>4</v>
      </c>
      <c r="H222" s="25">
        <v>7.83</v>
      </c>
      <c r="I222" s="34">
        <f>Tabela14[[#This Row],[PRECO 3%]]+(Tabela14[[#This Row],[PRECO 3%]]*0.06)</f>
        <v>8.2997999999999994</v>
      </c>
      <c r="J222" s="34"/>
      <c r="K222" s="34">
        <f>(Tabela14[[#This Row],[REGIÃO01-3%]]*0.06)+Tabela14[[#This Row],[REGIÃO01-3%]]</f>
        <v>0</v>
      </c>
      <c r="L222" s="34">
        <f>(Tabela14[[#This Row],[PRECO 3%]]*0.05)+Tabela14[[#This Row],[PRECO 3%]]</f>
        <v>8.2215000000000007</v>
      </c>
      <c r="M222" s="34">
        <f>(Tabela14[[#This Row],[REGIÃO02 - 3%]]*0.06)+Tabela14[[#This Row],[REGIÃO02 - 3%]]</f>
        <v>8.7147900000000007</v>
      </c>
      <c r="N222" s="34">
        <f>(Tabela14[[#This Row],[PRECO 3%]]*0.08)+Tabela14[[#This Row],[PRECO 3%]]</f>
        <v>8.4564000000000004</v>
      </c>
      <c r="O222" s="34">
        <f>(Tabela14[[#This Row],[REGIÃO03-3%]]*0.06)+Tabela14[[#This Row],[REGIÃO03-3%]]</f>
        <v>8.9637840000000004</v>
      </c>
      <c r="P222" s="34">
        <f>(Tabela14[[#This Row],[PRECO 3%]]*0.06)+Tabela14[[#This Row],[PRECO 3%]]</f>
        <v>8.2997999999999994</v>
      </c>
      <c r="Q222" s="34">
        <f>(Tabela14[[#This Row],[REGIÃO04-3%]]*0.06)+Tabela14[[#This Row],[REGIÃO04-3%]]</f>
        <v>8.7977879999999988</v>
      </c>
    </row>
    <row r="223" spans="1:17" x14ac:dyDescent="0.25">
      <c r="A223">
        <v>1594</v>
      </c>
      <c r="B223" t="s">
        <v>27</v>
      </c>
      <c r="C223" t="s">
        <v>35</v>
      </c>
      <c r="D223" t="s">
        <v>28</v>
      </c>
      <c r="E223" s="1" t="s">
        <v>322</v>
      </c>
      <c r="F223" t="e">
        <f>VLOOKUP(Tabela14[[#This Row],[ID_COD]],Tabela2[],6,0)</f>
        <v>#N/A</v>
      </c>
      <c r="G223" t="s">
        <v>97</v>
      </c>
      <c r="H223" s="2">
        <v>11.6</v>
      </c>
      <c r="I223" s="34">
        <f>Tabela14[[#This Row],[PRECO 3%]]+(Tabela14[[#This Row],[PRECO 3%]]*0.06)</f>
        <v>12.295999999999999</v>
      </c>
      <c r="J223" s="34"/>
      <c r="K223" s="34">
        <f>(Tabela14[[#This Row],[REGIÃO01-3%]]*0.06)+Tabela14[[#This Row],[REGIÃO01-3%]]</f>
        <v>0</v>
      </c>
      <c r="L223" s="34">
        <f>(Tabela14[[#This Row],[PRECO 3%]]*0.05)+Tabela14[[#This Row],[PRECO 3%]]</f>
        <v>12.18</v>
      </c>
      <c r="M223" s="34">
        <f>(Tabela14[[#This Row],[REGIÃO02 - 3%]]*0.06)+Tabela14[[#This Row],[REGIÃO02 - 3%]]</f>
        <v>12.9108</v>
      </c>
      <c r="N223" s="34">
        <f>(Tabela14[[#This Row],[PRECO 3%]]*0.08)+Tabela14[[#This Row],[PRECO 3%]]</f>
        <v>12.527999999999999</v>
      </c>
      <c r="O223" s="34">
        <f>(Tabela14[[#This Row],[REGIÃO03-3%]]*0.06)+Tabela14[[#This Row],[REGIÃO03-3%]]</f>
        <v>13.279679999999999</v>
      </c>
      <c r="P223" s="34">
        <f>(Tabela14[[#This Row],[PRECO 3%]]*0.06)+Tabela14[[#This Row],[PRECO 3%]]</f>
        <v>12.295999999999999</v>
      </c>
      <c r="Q223" s="34">
        <f>(Tabela14[[#This Row],[REGIÃO04-3%]]*0.06)+Tabela14[[#This Row],[REGIÃO04-3%]]</f>
        <v>13.033759999999999</v>
      </c>
    </row>
    <row r="224" spans="1:17" x14ac:dyDescent="0.25">
      <c r="A224" s="6">
        <v>1594</v>
      </c>
      <c r="B224" s="6" t="s">
        <v>370</v>
      </c>
      <c r="C224" s="6" t="s">
        <v>381</v>
      </c>
      <c r="D224" s="6" t="s">
        <v>372</v>
      </c>
      <c r="E224" s="1" t="s">
        <v>382</v>
      </c>
      <c r="F224" t="s">
        <v>4</v>
      </c>
      <c r="H224" s="25">
        <v>11.5992</v>
      </c>
      <c r="I224" s="34">
        <f>Tabela14[[#This Row],[PRECO 3%]]+(Tabela14[[#This Row],[PRECO 3%]]*0.06)</f>
        <v>12.295152</v>
      </c>
      <c r="J224" s="34"/>
      <c r="K224" s="34">
        <f>(Tabela14[[#This Row],[REGIÃO01-3%]]*0.06)+Tabela14[[#This Row],[REGIÃO01-3%]]</f>
        <v>0</v>
      </c>
      <c r="L224" s="34">
        <f>(Tabela14[[#This Row],[PRECO 3%]]*0.05)+Tabela14[[#This Row],[PRECO 3%]]</f>
        <v>12.17916</v>
      </c>
      <c r="M224" s="34">
        <f>(Tabela14[[#This Row],[REGIÃO02 - 3%]]*0.06)+Tabela14[[#This Row],[REGIÃO02 - 3%]]</f>
        <v>12.909909599999999</v>
      </c>
      <c r="N224" s="34">
        <f>(Tabela14[[#This Row],[PRECO 3%]]*0.08)+Tabela14[[#This Row],[PRECO 3%]]</f>
        <v>12.527136</v>
      </c>
      <c r="O224" s="34">
        <f>(Tabela14[[#This Row],[REGIÃO03-3%]]*0.06)+Tabela14[[#This Row],[REGIÃO03-3%]]</f>
        <v>13.27876416</v>
      </c>
      <c r="P224" s="34">
        <f>(Tabela14[[#This Row],[PRECO 3%]]*0.06)+Tabela14[[#This Row],[PRECO 3%]]</f>
        <v>12.295152</v>
      </c>
      <c r="Q224" s="34">
        <f>(Tabela14[[#This Row],[REGIÃO04-3%]]*0.06)+Tabela14[[#This Row],[REGIÃO04-3%]]</f>
        <v>13.03286112</v>
      </c>
    </row>
    <row r="225" spans="1:17" x14ac:dyDescent="0.25">
      <c r="A225">
        <v>1595</v>
      </c>
      <c r="B225" t="s">
        <v>27</v>
      </c>
      <c r="C225" t="s">
        <v>37</v>
      </c>
      <c r="D225" t="s">
        <v>28</v>
      </c>
      <c r="E225" s="1" t="s">
        <v>322</v>
      </c>
      <c r="F225" t="e">
        <f>VLOOKUP(Tabela14[[#This Row],[ID_COD]],Tabela2[],6,0)</f>
        <v>#N/A</v>
      </c>
      <c r="G225" t="s">
        <v>120</v>
      </c>
      <c r="H225" s="2">
        <v>5.81</v>
      </c>
      <c r="I225" s="34">
        <f>Tabela14[[#This Row],[PRECO 3%]]+(Tabela14[[#This Row],[PRECO 3%]]*0.06)</f>
        <v>6.1585999999999999</v>
      </c>
      <c r="J225" s="34"/>
      <c r="K225" s="34">
        <f>(Tabela14[[#This Row],[REGIÃO01-3%]]*0.06)+Tabela14[[#This Row],[REGIÃO01-3%]]</f>
        <v>0</v>
      </c>
      <c r="L225" s="34">
        <f>(Tabela14[[#This Row],[PRECO 3%]]*0.05)+Tabela14[[#This Row],[PRECO 3%]]</f>
        <v>6.1004999999999994</v>
      </c>
      <c r="M225" s="34">
        <f>(Tabela14[[#This Row],[REGIÃO02 - 3%]]*0.06)+Tabela14[[#This Row],[REGIÃO02 - 3%]]</f>
        <v>6.4665299999999997</v>
      </c>
      <c r="N225" s="34">
        <f>(Tabela14[[#This Row],[PRECO 3%]]*0.08)+Tabela14[[#This Row],[PRECO 3%]]</f>
        <v>6.2747999999999999</v>
      </c>
      <c r="O225" s="34">
        <f>(Tabela14[[#This Row],[REGIÃO03-3%]]*0.06)+Tabela14[[#This Row],[REGIÃO03-3%]]</f>
        <v>6.6512880000000001</v>
      </c>
      <c r="P225" s="34">
        <f>(Tabela14[[#This Row],[PRECO 3%]]*0.06)+Tabela14[[#This Row],[PRECO 3%]]</f>
        <v>6.1585999999999999</v>
      </c>
      <c r="Q225" s="34">
        <f>(Tabela14[[#This Row],[REGIÃO04-3%]]*0.06)+Tabela14[[#This Row],[REGIÃO04-3%]]</f>
        <v>6.5281159999999998</v>
      </c>
    </row>
    <row r="226" spans="1:17" x14ac:dyDescent="0.25">
      <c r="A226" s="6">
        <v>1595</v>
      </c>
      <c r="B226" s="6" t="s">
        <v>370</v>
      </c>
      <c r="C226" s="6" t="s">
        <v>385</v>
      </c>
      <c r="D226" s="6" t="s">
        <v>372</v>
      </c>
      <c r="E226" s="1" t="s">
        <v>386</v>
      </c>
      <c r="F226" t="s">
        <v>4</v>
      </c>
      <c r="H226" s="25">
        <v>5.8103999999999996</v>
      </c>
      <c r="I226" s="34">
        <f>Tabela14[[#This Row],[PRECO 3%]]+(Tabela14[[#This Row],[PRECO 3%]]*0.06)</f>
        <v>6.1590239999999996</v>
      </c>
      <c r="J226" s="34"/>
      <c r="K226" s="34">
        <f>(Tabela14[[#This Row],[REGIÃO01-3%]]*0.06)+Tabela14[[#This Row],[REGIÃO01-3%]]</f>
        <v>0</v>
      </c>
      <c r="L226" s="34">
        <f>(Tabela14[[#This Row],[PRECO 3%]]*0.05)+Tabela14[[#This Row],[PRECO 3%]]</f>
        <v>6.1009199999999995</v>
      </c>
      <c r="M226" s="34">
        <f>(Tabela14[[#This Row],[REGIÃO02 - 3%]]*0.06)+Tabela14[[#This Row],[REGIÃO02 - 3%]]</f>
        <v>6.4669751999999994</v>
      </c>
      <c r="N226" s="34">
        <f>(Tabela14[[#This Row],[PRECO 3%]]*0.08)+Tabela14[[#This Row],[PRECO 3%]]</f>
        <v>6.2752319999999999</v>
      </c>
      <c r="O226" s="34">
        <f>(Tabela14[[#This Row],[REGIÃO03-3%]]*0.06)+Tabela14[[#This Row],[REGIÃO03-3%]]</f>
        <v>6.6517459199999998</v>
      </c>
      <c r="P226" s="34">
        <f>(Tabela14[[#This Row],[PRECO 3%]]*0.06)+Tabela14[[#This Row],[PRECO 3%]]</f>
        <v>6.1590239999999996</v>
      </c>
      <c r="Q226" s="34">
        <f>(Tabela14[[#This Row],[REGIÃO04-3%]]*0.06)+Tabela14[[#This Row],[REGIÃO04-3%]]</f>
        <v>6.5285654399999995</v>
      </c>
    </row>
    <row r="227" spans="1:17" x14ac:dyDescent="0.25">
      <c r="A227">
        <v>1596</v>
      </c>
      <c r="B227" t="s">
        <v>27</v>
      </c>
      <c r="C227" t="s">
        <v>38</v>
      </c>
      <c r="D227" t="s">
        <v>28</v>
      </c>
      <c r="E227" s="1" t="s">
        <v>322</v>
      </c>
      <c r="F227" t="e">
        <f>VLOOKUP(Tabela14[[#This Row],[ID_COD]],Tabela2[],6,0)</f>
        <v>#N/A</v>
      </c>
      <c r="G227" t="s">
        <v>132</v>
      </c>
      <c r="H227" s="2">
        <v>7.32</v>
      </c>
      <c r="I227" s="34">
        <f>Tabela14[[#This Row],[PRECO 3%]]+(Tabela14[[#This Row],[PRECO 3%]]*0.06)</f>
        <v>7.7591999999999999</v>
      </c>
      <c r="J227" s="34"/>
      <c r="K227" s="34">
        <f>(Tabela14[[#This Row],[REGIÃO01-3%]]*0.06)+Tabela14[[#This Row],[REGIÃO01-3%]]</f>
        <v>0</v>
      </c>
      <c r="L227" s="34">
        <f>(Tabela14[[#This Row],[PRECO 3%]]*0.05)+Tabela14[[#This Row],[PRECO 3%]]</f>
        <v>7.6859999999999999</v>
      </c>
      <c r="M227" s="34">
        <f>(Tabela14[[#This Row],[REGIÃO02 - 3%]]*0.06)+Tabela14[[#This Row],[REGIÃO02 - 3%]]</f>
        <v>8.1471599999999995</v>
      </c>
      <c r="N227" s="34">
        <f>(Tabela14[[#This Row],[PRECO 3%]]*0.08)+Tabela14[[#This Row],[PRECO 3%]]</f>
        <v>7.9056000000000006</v>
      </c>
      <c r="O227" s="34">
        <f>(Tabela14[[#This Row],[REGIÃO03-3%]]*0.06)+Tabela14[[#This Row],[REGIÃO03-3%]]</f>
        <v>8.3799360000000007</v>
      </c>
      <c r="P227" s="34">
        <f>(Tabela14[[#This Row],[PRECO 3%]]*0.06)+Tabela14[[#This Row],[PRECO 3%]]</f>
        <v>7.7591999999999999</v>
      </c>
      <c r="Q227" s="34">
        <f>(Tabela14[[#This Row],[REGIÃO04-3%]]*0.06)+Tabela14[[#This Row],[REGIÃO04-3%]]</f>
        <v>8.2247520000000005</v>
      </c>
    </row>
    <row r="228" spans="1:17" x14ac:dyDescent="0.25">
      <c r="A228" s="6">
        <v>1596</v>
      </c>
      <c r="B228" s="6" t="s">
        <v>370</v>
      </c>
      <c r="C228" s="6" t="s">
        <v>387</v>
      </c>
      <c r="D228" s="6" t="s">
        <v>372</v>
      </c>
      <c r="E228" s="1" t="s">
        <v>378</v>
      </c>
      <c r="F228" t="s">
        <v>4</v>
      </c>
      <c r="H228" s="25">
        <v>7.3224</v>
      </c>
      <c r="I228" s="34">
        <f>Tabela14[[#This Row],[PRECO 3%]]+(Tabela14[[#This Row],[PRECO 3%]]*0.06)</f>
        <v>7.7617440000000002</v>
      </c>
      <c r="J228" s="34"/>
      <c r="K228" s="34">
        <f>(Tabela14[[#This Row],[REGIÃO01-3%]]*0.06)+Tabela14[[#This Row],[REGIÃO01-3%]]</f>
        <v>0</v>
      </c>
      <c r="L228" s="34">
        <f>(Tabela14[[#This Row],[PRECO 3%]]*0.05)+Tabela14[[#This Row],[PRECO 3%]]</f>
        <v>7.6885200000000005</v>
      </c>
      <c r="M228" s="34">
        <f>(Tabela14[[#This Row],[REGIÃO02 - 3%]]*0.06)+Tabela14[[#This Row],[REGIÃO02 - 3%]]</f>
        <v>8.1498312000000013</v>
      </c>
      <c r="N228" s="34">
        <f>(Tabela14[[#This Row],[PRECO 3%]]*0.08)+Tabela14[[#This Row],[PRECO 3%]]</f>
        <v>7.9081919999999997</v>
      </c>
      <c r="O228" s="34">
        <f>(Tabela14[[#This Row],[REGIÃO03-3%]]*0.06)+Tabela14[[#This Row],[REGIÃO03-3%]]</f>
        <v>8.3826835200000005</v>
      </c>
      <c r="P228" s="34">
        <f>(Tabela14[[#This Row],[PRECO 3%]]*0.06)+Tabela14[[#This Row],[PRECO 3%]]</f>
        <v>7.7617440000000002</v>
      </c>
      <c r="Q228" s="34">
        <f>(Tabela14[[#This Row],[REGIÃO04-3%]]*0.06)+Tabela14[[#This Row],[REGIÃO04-3%]]</f>
        <v>8.2274486400000004</v>
      </c>
    </row>
    <row r="229" spans="1:17" x14ac:dyDescent="0.25">
      <c r="A229">
        <v>1597</v>
      </c>
      <c r="B229" t="s">
        <v>27</v>
      </c>
      <c r="C229" t="s">
        <v>39</v>
      </c>
      <c r="D229" t="s">
        <v>28</v>
      </c>
      <c r="E229" s="1" t="s">
        <v>322</v>
      </c>
      <c r="F229" t="e">
        <f>VLOOKUP(Tabela14[[#This Row],[ID_COD]],Tabela2[],6,0)</f>
        <v>#N/A</v>
      </c>
      <c r="G229" t="s">
        <v>84</v>
      </c>
      <c r="H229" s="2">
        <v>8.58</v>
      </c>
      <c r="I229" s="34">
        <f>Tabela14[[#This Row],[PRECO 3%]]+(Tabela14[[#This Row],[PRECO 3%]]*0.06)</f>
        <v>9.0947999999999993</v>
      </c>
      <c r="J229" s="34"/>
      <c r="K229" s="34">
        <f>(Tabela14[[#This Row],[REGIÃO01-3%]]*0.06)+Tabela14[[#This Row],[REGIÃO01-3%]]</f>
        <v>0</v>
      </c>
      <c r="L229" s="34">
        <f>(Tabela14[[#This Row],[PRECO 3%]]*0.05)+Tabela14[[#This Row],[PRECO 3%]]</f>
        <v>9.0090000000000003</v>
      </c>
      <c r="M229" s="34">
        <f>(Tabela14[[#This Row],[REGIÃO02 - 3%]]*0.06)+Tabela14[[#This Row],[REGIÃO02 - 3%]]</f>
        <v>9.5495400000000004</v>
      </c>
      <c r="N229" s="34">
        <f>(Tabela14[[#This Row],[PRECO 3%]]*0.08)+Tabela14[[#This Row],[PRECO 3%]]</f>
        <v>9.2664000000000009</v>
      </c>
      <c r="O229" s="34">
        <f>(Tabela14[[#This Row],[REGIÃO03-3%]]*0.06)+Tabela14[[#This Row],[REGIÃO03-3%]]</f>
        <v>9.8223840000000013</v>
      </c>
      <c r="P229" s="34">
        <f>(Tabela14[[#This Row],[PRECO 3%]]*0.06)+Tabela14[[#This Row],[PRECO 3%]]</f>
        <v>9.0947999999999993</v>
      </c>
      <c r="Q229" s="34">
        <f>(Tabela14[[#This Row],[REGIÃO04-3%]]*0.06)+Tabela14[[#This Row],[REGIÃO04-3%]]</f>
        <v>9.6404879999999995</v>
      </c>
    </row>
    <row r="230" spans="1:17" x14ac:dyDescent="0.25">
      <c r="A230" s="6">
        <v>1597</v>
      </c>
      <c r="B230" s="6" t="s">
        <v>370</v>
      </c>
      <c r="C230" s="6" t="s">
        <v>388</v>
      </c>
      <c r="D230" s="6" t="s">
        <v>372</v>
      </c>
      <c r="E230" s="1" t="s">
        <v>389</v>
      </c>
      <c r="F230" t="s">
        <v>4</v>
      </c>
      <c r="H230" s="25">
        <v>8.5752000000000006</v>
      </c>
      <c r="I230" s="34">
        <f>Tabela14[[#This Row],[PRECO 3%]]+(Tabela14[[#This Row],[PRECO 3%]]*0.06)</f>
        <v>9.0897120000000005</v>
      </c>
      <c r="J230" s="34"/>
      <c r="K230" s="34">
        <f>(Tabela14[[#This Row],[REGIÃO01-3%]]*0.06)+Tabela14[[#This Row],[REGIÃO01-3%]]</f>
        <v>0</v>
      </c>
      <c r="L230" s="34">
        <f>(Tabela14[[#This Row],[PRECO 3%]]*0.05)+Tabela14[[#This Row],[PRECO 3%]]</f>
        <v>9.0039600000000011</v>
      </c>
      <c r="M230" s="34">
        <f>(Tabela14[[#This Row],[REGIÃO02 - 3%]]*0.06)+Tabela14[[#This Row],[REGIÃO02 - 3%]]</f>
        <v>9.5441976000000004</v>
      </c>
      <c r="N230" s="34">
        <f>(Tabela14[[#This Row],[PRECO 3%]]*0.08)+Tabela14[[#This Row],[PRECO 3%]]</f>
        <v>9.261216000000001</v>
      </c>
      <c r="O230" s="34">
        <f>(Tabela14[[#This Row],[REGIÃO03-3%]]*0.06)+Tabela14[[#This Row],[REGIÃO03-3%]]</f>
        <v>9.8168889600000018</v>
      </c>
      <c r="P230" s="34">
        <f>(Tabela14[[#This Row],[PRECO 3%]]*0.06)+Tabela14[[#This Row],[PRECO 3%]]</f>
        <v>9.0897120000000005</v>
      </c>
      <c r="Q230" s="34">
        <f>(Tabela14[[#This Row],[REGIÃO04-3%]]*0.06)+Tabela14[[#This Row],[REGIÃO04-3%]]</f>
        <v>9.6350947199999997</v>
      </c>
    </row>
    <row r="231" spans="1:17" x14ac:dyDescent="0.25">
      <c r="A231">
        <v>1598</v>
      </c>
      <c r="B231" t="s">
        <v>27</v>
      </c>
      <c r="C231" t="s">
        <v>40</v>
      </c>
      <c r="D231" t="s">
        <v>28</v>
      </c>
      <c r="E231" s="1" t="s">
        <v>322</v>
      </c>
      <c r="F231" t="e">
        <f>VLOOKUP(Tabela14[[#This Row],[ID_COD]],Tabela2[],6,0)</f>
        <v>#N/A</v>
      </c>
      <c r="G231" t="s">
        <v>92</v>
      </c>
      <c r="H231" s="2">
        <v>11.12</v>
      </c>
      <c r="I231" s="34">
        <f>Tabela14[[#This Row],[PRECO 3%]]+(Tabela14[[#This Row],[PRECO 3%]]*0.06)</f>
        <v>11.787199999999999</v>
      </c>
      <c r="J231" s="34"/>
      <c r="K231" s="34">
        <f>(Tabela14[[#This Row],[REGIÃO01-3%]]*0.06)+Tabela14[[#This Row],[REGIÃO01-3%]]</f>
        <v>0</v>
      </c>
      <c r="L231" s="34">
        <f>(Tabela14[[#This Row],[PRECO 3%]]*0.05)+Tabela14[[#This Row],[PRECO 3%]]</f>
        <v>11.675999999999998</v>
      </c>
      <c r="M231" s="34">
        <f>(Tabela14[[#This Row],[REGIÃO02 - 3%]]*0.06)+Tabela14[[#This Row],[REGIÃO02 - 3%]]</f>
        <v>12.376559999999998</v>
      </c>
      <c r="N231" s="34">
        <f>(Tabela14[[#This Row],[PRECO 3%]]*0.08)+Tabela14[[#This Row],[PRECO 3%]]</f>
        <v>12.009599999999999</v>
      </c>
      <c r="O231" s="34">
        <f>(Tabela14[[#This Row],[REGIÃO03-3%]]*0.06)+Tabela14[[#This Row],[REGIÃO03-3%]]</f>
        <v>12.730175999999998</v>
      </c>
      <c r="P231" s="34">
        <f>(Tabela14[[#This Row],[PRECO 3%]]*0.06)+Tabela14[[#This Row],[PRECO 3%]]</f>
        <v>11.787199999999999</v>
      </c>
      <c r="Q231" s="34">
        <f>(Tabela14[[#This Row],[REGIÃO04-3%]]*0.06)+Tabela14[[#This Row],[REGIÃO04-3%]]</f>
        <v>12.494431999999998</v>
      </c>
    </row>
    <row r="232" spans="1:17" x14ac:dyDescent="0.25">
      <c r="A232" s="6">
        <v>1598</v>
      </c>
      <c r="B232" s="6" t="s">
        <v>370</v>
      </c>
      <c r="C232" s="6" t="s">
        <v>390</v>
      </c>
      <c r="D232" s="6" t="s">
        <v>372</v>
      </c>
      <c r="E232" s="1" t="s">
        <v>391</v>
      </c>
      <c r="F232" t="s">
        <v>4</v>
      </c>
      <c r="H232" s="25">
        <v>11.124000000000001</v>
      </c>
      <c r="I232" s="34">
        <f>Tabela14[[#This Row],[PRECO 3%]]+(Tabela14[[#This Row],[PRECO 3%]]*0.06)</f>
        <v>11.791440000000001</v>
      </c>
      <c r="J232" s="34"/>
      <c r="K232" s="34">
        <f>(Tabela14[[#This Row],[REGIÃO01-3%]]*0.06)+Tabela14[[#This Row],[REGIÃO01-3%]]</f>
        <v>0</v>
      </c>
      <c r="L232" s="34">
        <f>(Tabela14[[#This Row],[PRECO 3%]]*0.05)+Tabela14[[#This Row],[PRECO 3%]]</f>
        <v>11.680200000000001</v>
      </c>
      <c r="M232" s="34">
        <f>(Tabela14[[#This Row],[REGIÃO02 - 3%]]*0.06)+Tabela14[[#This Row],[REGIÃO02 - 3%]]</f>
        <v>12.381012000000002</v>
      </c>
      <c r="N232" s="34">
        <f>(Tabela14[[#This Row],[PRECO 3%]]*0.08)+Tabela14[[#This Row],[PRECO 3%]]</f>
        <v>12.013920000000001</v>
      </c>
      <c r="O232" s="34">
        <f>(Tabela14[[#This Row],[REGIÃO03-3%]]*0.06)+Tabela14[[#This Row],[REGIÃO03-3%]]</f>
        <v>12.7347552</v>
      </c>
      <c r="P232" s="34">
        <f>(Tabela14[[#This Row],[PRECO 3%]]*0.06)+Tabela14[[#This Row],[PRECO 3%]]</f>
        <v>11.791440000000001</v>
      </c>
      <c r="Q232" s="34">
        <f>(Tabela14[[#This Row],[REGIÃO04-3%]]*0.06)+Tabela14[[#This Row],[REGIÃO04-3%]]</f>
        <v>12.498926400000002</v>
      </c>
    </row>
    <row r="233" spans="1:17" x14ac:dyDescent="0.25">
      <c r="A233">
        <v>1599</v>
      </c>
      <c r="B233" t="s">
        <v>27</v>
      </c>
      <c r="C233" t="s">
        <v>42</v>
      </c>
      <c r="D233" t="s">
        <v>28</v>
      </c>
      <c r="E233" s="1" t="s">
        <v>322</v>
      </c>
      <c r="F233" t="e">
        <f>VLOOKUP(Tabela14[[#This Row],[ID_COD]],Tabela2[],6,0)</f>
        <v>#N/A</v>
      </c>
      <c r="G233" t="s">
        <v>102</v>
      </c>
      <c r="H233" s="2">
        <v>15.92</v>
      </c>
      <c r="I233" s="34">
        <f>Tabela14[[#This Row],[PRECO 3%]]+(Tabela14[[#This Row],[PRECO 3%]]*0.06)</f>
        <v>16.8752</v>
      </c>
      <c r="J233" s="34"/>
      <c r="K233" s="34">
        <f>(Tabela14[[#This Row],[REGIÃO01-3%]]*0.06)+Tabela14[[#This Row],[REGIÃO01-3%]]</f>
        <v>0</v>
      </c>
      <c r="L233" s="34">
        <f>(Tabela14[[#This Row],[PRECO 3%]]*0.05)+Tabela14[[#This Row],[PRECO 3%]]</f>
        <v>16.716000000000001</v>
      </c>
      <c r="M233" s="34">
        <f>(Tabela14[[#This Row],[REGIÃO02 - 3%]]*0.06)+Tabela14[[#This Row],[REGIÃO02 - 3%]]</f>
        <v>17.718960000000003</v>
      </c>
      <c r="N233" s="34">
        <f>(Tabela14[[#This Row],[PRECO 3%]]*0.08)+Tabela14[[#This Row],[PRECO 3%]]</f>
        <v>17.1936</v>
      </c>
      <c r="O233" s="34">
        <f>(Tabela14[[#This Row],[REGIÃO03-3%]]*0.06)+Tabela14[[#This Row],[REGIÃO03-3%]]</f>
        <v>18.225216</v>
      </c>
      <c r="P233" s="34">
        <f>(Tabela14[[#This Row],[PRECO 3%]]*0.06)+Tabela14[[#This Row],[PRECO 3%]]</f>
        <v>16.8752</v>
      </c>
      <c r="Q233" s="34">
        <f>(Tabela14[[#This Row],[REGIÃO04-3%]]*0.06)+Tabela14[[#This Row],[REGIÃO04-3%]]</f>
        <v>17.887712000000001</v>
      </c>
    </row>
    <row r="234" spans="1:17" x14ac:dyDescent="0.25">
      <c r="A234" s="6">
        <v>1599</v>
      </c>
      <c r="B234" s="6" t="s">
        <v>370</v>
      </c>
      <c r="C234" s="6" t="s">
        <v>392</v>
      </c>
      <c r="D234" s="6" t="s">
        <v>372</v>
      </c>
      <c r="E234" s="1" t="s">
        <v>393</v>
      </c>
      <c r="F234" t="s">
        <v>4</v>
      </c>
      <c r="H234" s="25">
        <v>15.9192</v>
      </c>
      <c r="I234" s="34">
        <f>Tabela14[[#This Row],[PRECO 3%]]+(Tabela14[[#This Row],[PRECO 3%]]*0.06)</f>
        <v>16.874352000000002</v>
      </c>
      <c r="J234" s="34"/>
      <c r="K234" s="34">
        <f>(Tabela14[[#This Row],[REGIÃO01-3%]]*0.06)+Tabela14[[#This Row],[REGIÃO01-3%]]</f>
        <v>0</v>
      </c>
      <c r="L234" s="34">
        <f>(Tabela14[[#This Row],[PRECO 3%]]*0.05)+Tabela14[[#This Row],[PRECO 3%]]</f>
        <v>16.715160000000001</v>
      </c>
      <c r="M234" s="34">
        <f>(Tabela14[[#This Row],[REGIÃO02 - 3%]]*0.06)+Tabela14[[#This Row],[REGIÃO02 - 3%]]</f>
        <v>17.7180696</v>
      </c>
      <c r="N234" s="34">
        <f>(Tabela14[[#This Row],[PRECO 3%]]*0.08)+Tabela14[[#This Row],[PRECO 3%]]</f>
        <v>17.192736</v>
      </c>
      <c r="O234" s="34">
        <f>(Tabela14[[#This Row],[REGIÃO03-3%]]*0.06)+Tabela14[[#This Row],[REGIÃO03-3%]]</f>
        <v>18.224300159999999</v>
      </c>
      <c r="P234" s="34">
        <f>(Tabela14[[#This Row],[PRECO 3%]]*0.06)+Tabela14[[#This Row],[PRECO 3%]]</f>
        <v>16.874352000000002</v>
      </c>
      <c r="Q234" s="34">
        <f>(Tabela14[[#This Row],[REGIÃO04-3%]]*0.06)+Tabela14[[#This Row],[REGIÃO04-3%]]</f>
        <v>17.886813120000003</v>
      </c>
    </row>
    <row r="235" spans="1:17" x14ac:dyDescent="0.25">
      <c r="A235">
        <v>1600</v>
      </c>
      <c r="B235" t="s">
        <v>27</v>
      </c>
      <c r="C235" t="s">
        <v>45</v>
      </c>
      <c r="D235" t="s">
        <v>43</v>
      </c>
      <c r="E235" s="1" t="s">
        <v>322</v>
      </c>
      <c r="F235" t="e">
        <f>VLOOKUP(Tabela14[[#This Row],[ID_COD]],Tabela2[],6,0)</f>
        <v>#N/A</v>
      </c>
      <c r="G235" t="s">
        <v>112</v>
      </c>
      <c r="H235" s="2">
        <v>4.6399999999999997</v>
      </c>
      <c r="I235" s="34">
        <f>Tabela14[[#This Row],[PRECO 3%]]+(Tabela14[[#This Row],[PRECO 3%]]*0.06)</f>
        <v>4.9184000000000001</v>
      </c>
      <c r="J235" s="34"/>
      <c r="K235" s="34">
        <f>(Tabela14[[#This Row],[REGIÃO01-3%]]*0.06)+Tabela14[[#This Row],[REGIÃO01-3%]]</f>
        <v>0</v>
      </c>
      <c r="L235" s="34">
        <f>(Tabela14[[#This Row],[PRECO 3%]]*0.05)+Tabela14[[#This Row],[PRECO 3%]]</f>
        <v>4.8719999999999999</v>
      </c>
      <c r="M235" s="34">
        <f>(Tabela14[[#This Row],[REGIÃO02 - 3%]]*0.06)+Tabela14[[#This Row],[REGIÃO02 - 3%]]</f>
        <v>5.16432</v>
      </c>
      <c r="N235" s="34">
        <f>(Tabela14[[#This Row],[PRECO 3%]]*0.08)+Tabela14[[#This Row],[PRECO 3%]]</f>
        <v>5.0111999999999997</v>
      </c>
      <c r="O235" s="34">
        <f>(Tabela14[[#This Row],[REGIÃO03-3%]]*0.06)+Tabela14[[#This Row],[REGIÃO03-3%]]</f>
        <v>5.3118719999999993</v>
      </c>
      <c r="P235" s="34">
        <f>(Tabela14[[#This Row],[PRECO 3%]]*0.06)+Tabela14[[#This Row],[PRECO 3%]]</f>
        <v>4.9184000000000001</v>
      </c>
      <c r="Q235" s="34">
        <f>(Tabela14[[#This Row],[REGIÃO04-3%]]*0.06)+Tabela14[[#This Row],[REGIÃO04-3%]]</f>
        <v>5.2135040000000004</v>
      </c>
    </row>
    <row r="236" spans="1:17" x14ac:dyDescent="0.25">
      <c r="A236">
        <v>1601</v>
      </c>
      <c r="B236" t="s">
        <v>27</v>
      </c>
      <c r="C236" t="s">
        <v>46</v>
      </c>
      <c r="D236" t="s">
        <v>43</v>
      </c>
      <c r="E236" s="1" t="s">
        <v>322</v>
      </c>
      <c r="F236" t="e">
        <f>VLOOKUP(Tabela14[[#This Row],[ID_COD]],Tabela2[],6,0)</f>
        <v>#N/A</v>
      </c>
      <c r="G236" t="s">
        <v>74</v>
      </c>
      <c r="H236" s="2">
        <v>5.74</v>
      </c>
      <c r="I236" s="34">
        <f>Tabela14[[#This Row],[PRECO 3%]]+(Tabela14[[#This Row],[PRECO 3%]]*0.06)</f>
        <v>6.0844000000000005</v>
      </c>
      <c r="J236" s="34"/>
      <c r="K236" s="34">
        <f>(Tabela14[[#This Row],[REGIÃO01-3%]]*0.06)+Tabela14[[#This Row],[REGIÃO01-3%]]</f>
        <v>0</v>
      </c>
      <c r="L236" s="34">
        <f>(Tabela14[[#This Row],[PRECO 3%]]*0.05)+Tabela14[[#This Row],[PRECO 3%]]</f>
        <v>6.0270000000000001</v>
      </c>
      <c r="M236" s="34">
        <f>(Tabela14[[#This Row],[REGIÃO02 - 3%]]*0.06)+Tabela14[[#This Row],[REGIÃO02 - 3%]]</f>
        <v>6.3886200000000004</v>
      </c>
      <c r="N236" s="34">
        <f>(Tabela14[[#This Row],[PRECO 3%]]*0.08)+Tabela14[[#This Row],[PRECO 3%]]</f>
        <v>6.1992000000000003</v>
      </c>
      <c r="O236" s="34">
        <f>(Tabela14[[#This Row],[REGIÃO03-3%]]*0.06)+Tabela14[[#This Row],[REGIÃO03-3%]]</f>
        <v>6.5711520000000005</v>
      </c>
      <c r="P236" s="34">
        <f>(Tabela14[[#This Row],[PRECO 3%]]*0.06)+Tabela14[[#This Row],[PRECO 3%]]</f>
        <v>6.0844000000000005</v>
      </c>
      <c r="Q236" s="34">
        <f>(Tabela14[[#This Row],[REGIÃO04-3%]]*0.06)+Tabela14[[#This Row],[REGIÃO04-3%]]</f>
        <v>6.4494640000000008</v>
      </c>
    </row>
    <row r="237" spans="1:17" x14ac:dyDescent="0.25">
      <c r="A237">
        <v>1602</v>
      </c>
      <c r="B237" t="s">
        <v>27</v>
      </c>
      <c r="C237" t="s">
        <v>47</v>
      </c>
      <c r="D237" t="s">
        <v>43</v>
      </c>
      <c r="E237" s="1" t="s">
        <v>322</v>
      </c>
      <c r="F237" t="e">
        <f>VLOOKUP(Tabela14[[#This Row],[ID_COD]],Tabela2[],6,0)</f>
        <v>#N/A</v>
      </c>
      <c r="G237" t="s">
        <v>139</v>
      </c>
      <c r="H237" s="2">
        <v>6.57</v>
      </c>
      <c r="I237" s="34">
        <f>Tabela14[[#This Row],[PRECO 3%]]+(Tabela14[[#This Row],[PRECO 3%]]*0.06)</f>
        <v>6.9641999999999999</v>
      </c>
      <c r="J237" s="34"/>
      <c r="K237" s="34">
        <f>(Tabela14[[#This Row],[REGIÃO01-3%]]*0.06)+Tabela14[[#This Row],[REGIÃO01-3%]]</f>
        <v>0</v>
      </c>
      <c r="L237" s="34">
        <f>(Tabela14[[#This Row],[PRECO 3%]]*0.05)+Tabela14[[#This Row],[PRECO 3%]]</f>
        <v>6.8985000000000003</v>
      </c>
      <c r="M237" s="34">
        <f>(Tabela14[[#This Row],[REGIÃO02 - 3%]]*0.06)+Tabela14[[#This Row],[REGIÃO02 - 3%]]</f>
        <v>7.3124099999999999</v>
      </c>
      <c r="N237" s="34">
        <f>(Tabela14[[#This Row],[PRECO 3%]]*0.08)+Tabela14[[#This Row],[PRECO 3%]]</f>
        <v>7.0956000000000001</v>
      </c>
      <c r="O237" s="34">
        <f>(Tabela14[[#This Row],[REGIÃO03-3%]]*0.06)+Tabela14[[#This Row],[REGIÃO03-3%]]</f>
        <v>7.5213359999999998</v>
      </c>
      <c r="P237" s="34">
        <f>(Tabela14[[#This Row],[PRECO 3%]]*0.06)+Tabela14[[#This Row],[PRECO 3%]]</f>
        <v>6.9641999999999999</v>
      </c>
      <c r="Q237" s="34">
        <f>(Tabela14[[#This Row],[REGIÃO04-3%]]*0.06)+Tabela14[[#This Row],[REGIÃO04-3%]]</f>
        <v>7.3820519999999998</v>
      </c>
    </row>
    <row r="238" spans="1:17" x14ac:dyDescent="0.25">
      <c r="A238">
        <v>1603</v>
      </c>
      <c r="B238" t="s">
        <v>27</v>
      </c>
      <c r="C238" t="s">
        <v>48</v>
      </c>
      <c r="D238" t="s">
        <v>43</v>
      </c>
      <c r="E238" s="1" t="s">
        <v>322</v>
      </c>
      <c r="F238" t="e">
        <f>VLOOKUP(Tabela14[[#This Row],[ID_COD]],Tabela2[],6,0)</f>
        <v>#N/A</v>
      </c>
      <c r="G238" t="s">
        <v>89</v>
      </c>
      <c r="H238" s="2">
        <v>8.4499999999999993</v>
      </c>
      <c r="I238" s="34">
        <f>Tabela14[[#This Row],[PRECO 3%]]+(Tabela14[[#This Row],[PRECO 3%]]*0.06)</f>
        <v>8.956999999999999</v>
      </c>
      <c r="J238" s="34"/>
      <c r="K238" s="34">
        <f>(Tabela14[[#This Row],[REGIÃO01-3%]]*0.06)+Tabela14[[#This Row],[REGIÃO01-3%]]</f>
        <v>0</v>
      </c>
      <c r="L238" s="34">
        <f>(Tabela14[[#This Row],[PRECO 3%]]*0.05)+Tabela14[[#This Row],[PRECO 3%]]</f>
        <v>8.8724999999999987</v>
      </c>
      <c r="M238" s="34">
        <f>(Tabela14[[#This Row],[REGIÃO02 - 3%]]*0.06)+Tabela14[[#This Row],[REGIÃO02 - 3%]]</f>
        <v>9.4048499999999979</v>
      </c>
      <c r="N238" s="34">
        <f>(Tabela14[[#This Row],[PRECO 3%]]*0.08)+Tabela14[[#This Row],[PRECO 3%]]</f>
        <v>9.1259999999999994</v>
      </c>
      <c r="O238" s="34">
        <f>(Tabela14[[#This Row],[REGIÃO03-3%]]*0.06)+Tabela14[[#This Row],[REGIÃO03-3%]]</f>
        <v>9.6735600000000002</v>
      </c>
      <c r="P238" s="34">
        <f>(Tabela14[[#This Row],[PRECO 3%]]*0.06)+Tabela14[[#This Row],[PRECO 3%]]</f>
        <v>8.956999999999999</v>
      </c>
      <c r="Q238" s="34">
        <f>(Tabela14[[#This Row],[REGIÃO04-3%]]*0.06)+Tabela14[[#This Row],[REGIÃO04-3%]]</f>
        <v>9.4944199999999981</v>
      </c>
    </row>
    <row r="239" spans="1:17" x14ac:dyDescent="0.25">
      <c r="A239">
        <v>1604</v>
      </c>
      <c r="B239" t="s">
        <v>27</v>
      </c>
      <c r="C239" t="s">
        <v>50</v>
      </c>
      <c r="D239" t="s">
        <v>43</v>
      </c>
      <c r="E239" s="1" t="s">
        <v>322</v>
      </c>
      <c r="F239" t="e">
        <f>VLOOKUP(Tabela14[[#This Row],[ID_COD]],Tabela2[],6,0)</f>
        <v>#N/A</v>
      </c>
      <c r="G239" t="s">
        <v>98</v>
      </c>
      <c r="H239" s="2">
        <v>12.58</v>
      </c>
      <c r="I239" s="34">
        <f>Tabela14[[#This Row],[PRECO 3%]]+(Tabela14[[#This Row],[PRECO 3%]]*0.06)</f>
        <v>13.3348</v>
      </c>
      <c r="J239" s="34"/>
      <c r="K239" s="34">
        <f>(Tabela14[[#This Row],[REGIÃO01-3%]]*0.06)+Tabela14[[#This Row],[REGIÃO01-3%]]</f>
        <v>0</v>
      </c>
      <c r="L239" s="34">
        <f>(Tabela14[[#This Row],[PRECO 3%]]*0.05)+Tabela14[[#This Row],[PRECO 3%]]</f>
        <v>13.209</v>
      </c>
      <c r="M239" s="34">
        <f>(Tabela14[[#This Row],[REGIÃO02 - 3%]]*0.06)+Tabela14[[#This Row],[REGIÃO02 - 3%]]</f>
        <v>14.00154</v>
      </c>
      <c r="N239" s="34">
        <f>(Tabela14[[#This Row],[PRECO 3%]]*0.08)+Tabela14[[#This Row],[PRECO 3%]]</f>
        <v>13.586399999999999</v>
      </c>
      <c r="O239" s="34">
        <f>(Tabela14[[#This Row],[REGIÃO03-3%]]*0.06)+Tabela14[[#This Row],[REGIÃO03-3%]]</f>
        <v>14.401584</v>
      </c>
      <c r="P239" s="34">
        <f>(Tabela14[[#This Row],[PRECO 3%]]*0.06)+Tabela14[[#This Row],[PRECO 3%]]</f>
        <v>13.3348</v>
      </c>
      <c r="Q239" s="34">
        <f>(Tabela14[[#This Row],[REGIÃO04-3%]]*0.06)+Tabela14[[#This Row],[REGIÃO04-3%]]</f>
        <v>14.134888</v>
      </c>
    </row>
    <row r="240" spans="1:17" x14ac:dyDescent="0.25">
      <c r="A240">
        <v>1605</v>
      </c>
      <c r="B240" t="s">
        <v>27</v>
      </c>
      <c r="C240" t="s">
        <v>52</v>
      </c>
      <c r="D240" t="s">
        <v>43</v>
      </c>
      <c r="E240" s="1" t="s">
        <v>322</v>
      </c>
      <c r="F240" t="e">
        <f>VLOOKUP(Tabela14[[#This Row],[ID_COD]],Tabela2[],6,0)</f>
        <v>#N/A</v>
      </c>
      <c r="G240" t="s">
        <v>72</v>
      </c>
      <c r="H240" s="2">
        <v>6.41</v>
      </c>
      <c r="I240" s="34">
        <f>Tabela14[[#This Row],[PRECO 3%]]+(Tabela14[[#This Row],[PRECO 3%]]*0.06)</f>
        <v>6.7946</v>
      </c>
      <c r="J240" s="34"/>
      <c r="K240" s="34">
        <f>(Tabela14[[#This Row],[REGIÃO01-3%]]*0.06)+Tabela14[[#This Row],[REGIÃO01-3%]]</f>
        <v>0</v>
      </c>
      <c r="L240" s="34">
        <f>(Tabela14[[#This Row],[PRECO 3%]]*0.05)+Tabela14[[#This Row],[PRECO 3%]]</f>
        <v>6.7305000000000001</v>
      </c>
      <c r="M240" s="34">
        <f>(Tabela14[[#This Row],[REGIÃO02 - 3%]]*0.06)+Tabela14[[#This Row],[REGIÃO02 - 3%]]</f>
        <v>7.1343300000000003</v>
      </c>
      <c r="N240" s="34">
        <f>(Tabela14[[#This Row],[PRECO 3%]]*0.08)+Tabela14[[#This Row],[PRECO 3%]]</f>
        <v>6.9228000000000005</v>
      </c>
      <c r="O240" s="34">
        <f>(Tabela14[[#This Row],[REGIÃO03-3%]]*0.06)+Tabela14[[#This Row],[REGIÃO03-3%]]</f>
        <v>7.3381680000000005</v>
      </c>
      <c r="P240" s="34">
        <f>(Tabela14[[#This Row],[PRECO 3%]]*0.06)+Tabela14[[#This Row],[PRECO 3%]]</f>
        <v>6.7946</v>
      </c>
      <c r="Q240" s="34">
        <f>(Tabela14[[#This Row],[REGIÃO04-3%]]*0.06)+Tabela14[[#This Row],[REGIÃO04-3%]]</f>
        <v>7.2022760000000003</v>
      </c>
    </row>
    <row r="241" spans="1:17" x14ac:dyDescent="0.25">
      <c r="A241">
        <v>1606</v>
      </c>
      <c r="B241" t="s">
        <v>27</v>
      </c>
      <c r="C241" t="s">
        <v>53</v>
      </c>
      <c r="D241" t="s">
        <v>43</v>
      </c>
      <c r="E241" s="1" t="s">
        <v>322</v>
      </c>
      <c r="F241" t="e">
        <f>VLOOKUP(Tabela14[[#This Row],[ID_COD]],Tabela2[],6,0)</f>
        <v>#N/A</v>
      </c>
      <c r="G241" t="s">
        <v>78</v>
      </c>
      <c r="H241" s="2">
        <v>7.92</v>
      </c>
      <c r="I241" s="34">
        <f>Tabela14[[#This Row],[PRECO 3%]]+(Tabela14[[#This Row],[PRECO 3%]]*0.06)</f>
        <v>8.3951999999999991</v>
      </c>
      <c r="J241" s="34"/>
      <c r="K241" s="34">
        <f>(Tabela14[[#This Row],[REGIÃO01-3%]]*0.06)+Tabela14[[#This Row],[REGIÃO01-3%]]</f>
        <v>0</v>
      </c>
      <c r="L241" s="34">
        <f>(Tabela14[[#This Row],[PRECO 3%]]*0.05)+Tabela14[[#This Row],[PRECO 3%]]</f>
        <v>8.3160000000000007</v>
      </c>
      <c r="M241" s="34">
        <f>(Tabela14[[#This Row],[REGIÃO02 - 3%]]*0.06)+Tabela14[[#This Row],[REGIÃO02 - 3%]]</f>
        <v>8.814960000000001</v>
      </c>
      <c r="N241" s="34">
        <f>(Tabela14[[#This Row],[PRECO 3%]]*0.08)+Tabela14[[#This Row],[PRECO 3%]]</f>
        <v>8.5535999999999994</v>
      </c>
      <c r="O241" s="34">
        <f>(Tabela14[[#This Row],[REGIÃO03-3%]]*0.06)+Tabela14[[#This Row],[REGIÃO03-3%]]</f>
        <v>9.0668159999999993</v>
      </c>
      <c r="P241" s="34">
        <f>(Tabela14[[#This Row],[PRECO 3%]]*0.06)+Tabela14[[#This Row],[PRECO 3%]]</f>
        <v>8.3951999999999991</v>
      </c>
      <c r="Q241" s="34">
        <f>(Tabela14[[#This Row],[REGIÃO04-3%]]*0.06)+Tabela14[[#This Row],[REGIÃO04-3%]]</f>
        <v>8.8989119999999993</v>
      </c>
    </row>
    <row r="242" spans="1:17" x14ac:dyDescent="0.25">
      <c r="A242">
        <v>1608</v>
      </c>
      <c r="B242" t="s">
        <v>27</v>
      </c>
      <c r="C242" t="s">
        <v>54</v>
      </c>
      <c r="D242" t="s">
        <v>43</v>
      </c>
      <c r="E242" s="1" t="s">
        <v>322</v>
      </c>
      <c r="F242" t="e">
        <f>VLOOKUP(Tabela14[[#This Row],[ID_COD]],Tabela2[],6,0)</f>
        <v>#N/A</v>
      </c>
      <c r="G242" t="s">
        <v>85</v>
      </c>
      <c r="H242" s="2">
        <v>9.3699999999999992</v>
      </c>
      <c r="I242" s="34">
        <f>Tabela14[[#This Row],[PRECO 3%]]+(Tabela14[[#This Row],[PRECO 3%]]*0.06)</f>
        <v>9.9321999999999999</v>
      </c>
      <c r="J242" s="34"/>
      <c r="K242" s="34">
        <f>(Tabela14[[#This Row],[REGIÃO01-3%]]*0.06)+Tabela14[[#This Row],[REGIÃO01-3%]]</f>
        <v>0</v>
      </c>
      <c r="L242" s="34">
        <f>(Tabela14[[#This Row],[PRECO 3%]]*0.05)+Tabela14[[#This Row],[PRECO 3%]]</f>
        <v>9.8384999999999998</v>
      </c>
      <c r="M242" s="34">
        <f>(Tabela14[[#This Row],[REGIÃO02 - 3%]]*0.06)+Tabela14[[#This Row],[REGIÃO02 - 3%]]</f>
        <v>10.42881</v>
      </c>
      <c r="N242" s="34">
        <f>(Tabela14[[#This Row],[PRECO 3%]]*0.08)+Tabela14[[#This Row],[PRECO 3%]]</f>
        <v>10.119599999999998</v>
      </c>
      <c r="O242" s="34">
        <f>(Tabela14[[#This Row],[REGIÃO03-3%]]*0.06)+Tabela14[[#This Row],[REGIÃO03-3%]]</f>
        <v>10.726775999999997</v>
      </c>
      <c r="P242" s="34">
        <f>(Tabela14[[#This Row],[PRECO 3%]]*0.06)+Tabela14[[#This Row],[PRECO 3%]]</f>
        <v>9.9321999999999999</v>
      </c>
      <c r="Q242" s="34">
        <f>(Tabela14[[#This Row],[REGIÃO04-3%]]*0.06)+Tabela14[[#This Row],[REGIÃO04-3%]]</f>
        <v>10.528131999999999</v>
      </c>
    </row>
    <row r="243" spans="1:17" x14ac:dyDescent="0.25">
      <c r="A243">
        <v>1609</v>
      </c>
      <c r="B243" t="s">
        <v>27</v>
      </c>
      <c r="C243" t="s">
        <v>55</v>
      </c>
      <c r="D243" t="s">
        <v>43</v>
      </c>
      <c r="E243" s="1" t="s">
        <v>322</v>
      </c>
      <c r="F243" t="e">
        <f>VLOOKUP(Tabela14[[#This Row],[ID_COD]],Tabela2[],6,0)</f>
        <v>#N/A</v>
      </c>
      <c r="G243" t="s">
        <v>93</v>
      </c>
      <c r="H243" s="2">
        <v>12.03</v>
      </c>
      <c r="I243" s="34">
        <f>Tabela14[[#This Row],[PRECO 3%]]+(Tabela14[[#This Row],[PRECO 3%]]*0.06)</f>
        <v>12.751799999999999</v>
      </c>
      <c r="J243" s="34"/>
      <c r="K243" s="34">
        <f>(Tabela14[[#This Row],[REGIÃO01-3%]]*0.06)+Tabela14[[#This Row],[REGIÃO01-3%]]</f>
        <v>0</v>
      </c>
      <c r="L243" s="34">
        <f>(Tabela14[[#This Row],[PRECO 3%]]*0.05)+Tabela14[[#This Row],[PRECO 3%]]</f>
        <v>12.631499999999999</v>
      </c>
      <c r="M243" s="34">
        <f>(Tabela14[[#This Row],[REGIÃO02 - 3%]]*0.06)+Tabela14[[#This Row],[REGIÃO02 - 3%]]</f>
        <v>13.389389999999999</v>
      </c>
      <c r="N243" s="34">
        <f>(Tabela14[[#This Row],[PRECO 3%]]*0.08)+Tabela14[[#This Row],[PRECO 3%]]</f>
        <v>12.9924</v>
      </c>
      <c r="O243" s="34">
        <f>(Tabela14[[#This Row],[REGIÃO03-3%]]*0.06)+Tabela14[[#This Row],[REGIÃO03-3%]]</f>
        <v>13.771944</v>
      </c>
      <c r="P243" s="34">
        <f>(Tabela14[[#This Row],[PRECO 3%]]*0.06)+Tabela14[[#This Row],[PRECO 3%]]</f>
        <v>12.751799999999999</v>
      </c>
      <c r="Q243" s="34">
        <f>(Tabela14[[#This Row],[REGIÃO04-3%]]*0.06)+Tabela14[[#This Row],[REGIÃO04-3%]]</f>
        <v>13.516907999999999</v>
      </c>
    </row>
    <row r="244" spans="1:17" x14ac:dyDescent="0.25">
      <c r="A244">
        <v>1610</v>
      </c>
      <c r="B244" t="s">
        <v>27</v>
      </c>
      <c r="C244" t="s">
        <v>57</v>
      </c>
      <c r="D244" t="s">
        <v>43</v>
      </c>
      <c r="E244" s="1" t="s">
        <v>322</v>
      </c>
      <c r="F244" t="e">
        <f>VLOOKUP(Tabela14[[#This Row],[ID_COD]],Tabela2[],6,0)</f>
        <v>#N/A</v>
      </c>
      <c r="G244" t="s">
        <v>103</v>
      </c>
      <c r="H244" s="2">
        <v>17.34</v>
      </c>
      <c r="I244" s="34">
        <f>Tabela14[[#This Row],[PRECO 3%]]+(Tabela14[[#This Row],[PRECO 3%]]*0.06)</f>
        <v>18.380400000000002</v>
      </c>
      <c r="J244" s="34"/>
      <c r="K244" s="34">
        <f>(Tabela14[[#This Row],[REGIÃO01-3%]]*0.06)+Tabela14[[#This Row],[REGIÃO01-3%]]</f>
        <v>0</v>
      </c>
      <c r="L244" s="34">
        <f>(Tabela14[[#This Row],[PRECO 3%]]*0.05)+Tabela14[[#This Row],[PRECO 3%]]</f>
        <v>18.207000000000001</v>
      </c>
      <c r="M244" s="34">
        <f>(Tabela14[[#This Row],[REGIÃO02 - 3%]]*0.06)+Tabela14[[#This Row],[REGIÃO02 - 3%]]</f>
        <v>19.299420000000001</v>
      </c>
      <c r="N244" s="34">
        <f>(Tabela14[[#This Row],[PRECO 3%]]*0.08)+Tabela14[[#This Row],[PRECO 3%]]</f>
        <v>18.7272</v>
      </c>
      <c r="O244" s="34">
        <f>(Tabela14[[#This Row],[REGIÃO03-3%]]*0.06)+Tabela14[[#This Row],[REGIÃO03-3%]]</f>
        <v>19.850832</v>
      </c>
      <c r="P244" s="34">
        <f>(Tabela14[[#This Row],[PRECO 3%]]*0.06)+Tabela14[[#This Row],[PRECO 3%]]</f>
        <v>18.380400000000002</v>
      </c>
      <c r="Q244" s="34">
        <f>(Tabela14[[#This Row],[REGIÃO04-3%]]*0.06)+Tabela14[[#This Row],[REGIÃO04-3%]]</f>
        <v>19.483224</v>
      </c>
    </row>
    <row r="245" spans="1:17" x14ac:dyDescent="0.25">
      <c r="A245">
        <v>1611</v>
      </c>
      <c r="B245" t="s">
        <v>62</v>
      </c>
      <c r="C245" t="s">
        <v>37</v>
      </c>
      <c r="D245" t="s">
        <v>28</v>
      </c>
      <c r="E245" s="1" t="s">
        <v>322</v>
      </c>
      <c r="F245" t="e">
        <f>VLOOKUP(Tabela14[[#This Row],[ID_COD]],Tabela2[],6,0)</f>
        <v>#N/A</v>
      </c>
      <c r="G245" t="s">
        <v>122</v>
      </c>
      <c r="H245" s="2">
        <v>5.21</v>
      </c>
      <c r="I245" s="34">
        <f>Tabela14[[#This Row],[PRECO 3%]]+(Tabela14[[#This Row],[PRECO 3%]]*0.06)</f>
        <v>5.5225999999999997</v>
      </c>
      <c r="J245" s="34"/>
      <c r="K245" s="34">
        <f>(Tabela14[[#This Row],[REGIÃO01-3%]]*0.06)+Tabela14[[#This Row],[REGIÃO01-3%]]</f>
        <v>0</v>
      </c>
      <c r="L245" s="34">
        <f>(Tabela14[[#This Row],[PRECO 3%]]*0.05)+Tabela14[[#This Row],[PRECO 3%]]</f>
        <v>5.4705000000000004</v>
      </c>
      <c r="M245" s="34">
        <f>(Tabela14[[#This Row],[REGIÃO02 - 3%]]*0.06)+Tabela14[[#This Row],[REGIÃO02 - 3%]]</f>
        <v>5.7987300000000008</v>
      </c>
      <c r="N245" s="34">
        <f>(Tabela14[[#This Row],[PRECO 3%]]*0.08)+Tabela14[[#This Row],[PRECO 3%]]</f>
        <v>5.6268000000000002</v>
      </c>
      <c r="O245" s="34">
        <f>(Tabela14[[#This Row],[REGIÃO03-3%]]*0.06)+Tabela14[[#This Row],[REGIÃO03-3%]]</f>
        <v>5.9644080000000006</v>
      </c>
      <c r="P245" s="34">
        <f>(Tabela14[[#This Row],[PRECO 3%]]*0.06)+Tabela14[[#This Row],[PRECO 3%]]</f>
        <v>5.5225999999999997</v>
      </c>
      <c r="Q245" s="34">
        <f>(Tabela14[[#This Row],[REGIÃO04-3%]]*0.06)+Tabela14[[#This Row],[REGIÃO04-3%]]</f>
        <v>5.8539560000000002</v>
      </c>
    </row>
    <row r="246" spans="1:17" x14ac:dyDescent="0.25">
      <c r="A246" s="6">
        <v>1611</v>
      </c>
      <c r="B246" s="6" t="s">
        <v>394</v>
      </c>
      <c r="C246" s="6" t="s">
        <v>385</v>
      </c>
      <c r="D246" s="6" t="s">
        <v>372</v>
      </c>
      <c r="E246" s="1" t="s">
        <v>398</v>
      </c>
      <c r="F246" t="s">
        <v>4</v>
      </c>
      <c r="H246" s="25">
        <v>5.6268000000000002</v>
      </c>
      <c r="I246" s="34">
        <f>Tabela14[[#This Row],[PRECO 3%]]+(Tabela14[[#This Row],[PRECO 3%]]*0.06)</f>
        <v>5.9644080000000006</v>
      </c>
      <c r="J246" s="34"/>
      <c r="K246" s="34">
        <f>(Tabela14[[#This Row],[REGIÃO01-3%]]*0.06)+Tabela14[[#This Row],[REGIÃO01-3%]]</f>
        <v>0</v>
      </c>
      <c r="L246" s="34">
        <f>(Tabela14[[#This Row],[PRECO 3%]]*0.05)+Tabela14[[#This Row],[PRECO 3%]]</f>
        <v>5.9081400000000004</v>
      </c>
      <c r="M246" s="34">
        <f>(Tabela14[[#This Row],[REGIÃO02 - 3%]]*0.06)+Tabela14[[#This Row],[REGIÃO02 - 3%]]</f>
        <v>6.2626284000000005</v>
      </c>
      <c r="N246" s="34">
        <f>(Tabela14[[#This Row],[PRECO 3%]]*0.08)+Tabela14[[#This Row],[PRECO 3%]]</f>
        <v>6.0769440000000001</v>
      </c>
      <c r="O246" s="34">
        <f>(Tabela14[[#This Row],[REGIÃO03-3%]]*0.06)+Tabela14[[#This Row],[REGIÃO03-3%]]</f>
        <v>6.4415606400000005</v>
      </c>
      <c r="P246" s="34">
        <f>(Tabela14[[#This Row],[PRECO 3%]]*0.06)+Tabela14[[#This Row],[PRECO 3%]]</f>
        <v>5.9644080000000006</v>
      </c>
      <c r="Q246" s="34">
        <f>(Tabela14[[#This Row],[REGIÃO04-3%]]*0.06)+Tabela14[[#This Row],[REGIÃO04-3%]]</f>
        <v>6.3222724800000005</v>
      </c>
    </row>
    <row r="247" spans="1:17" x14ac:dyDescent="0.25">
      <c r="A247">
        <v>1612</v>
      </c>
      <c r="B247" t="s">
        <v>62</v>
      </c>
      <c r="C247" t="s">
        <v>38</v>
      </c>
      <c r="D247" t="s">
        <v>28</v>
      </c>
      <c r="E247" s="1" t="s">
        <v>322</v>
      </c>
      <c r="F247" t="e">
        <f>VLOOKUP(Tabela14[[#This Row],[ID_COD]],Tabela2[],6,0)</f>
        <v>#N/A</v>
      </c>
      <c r="G247" t="s">
        <v>79</v>
      </c>
      <c r="H247" s="2">
        <v>6.58</v>
      </c>
      <c r="I247" s="34">
        <f>Tabela14[[#This Row],[PRECO 3%]]+(Tabela14[[#This Row],[PRECO 3%]]*0.06)</f>
        <v>6.9748000000000001</v>
      </c>
      <c r="J247" s="34"/>
      <c r="K247" s="34">
        <f>(Tabela14[[#This Row],[REGIÃO01-3%]]*0.06)+Tabela14[[#This Row],[REGIÃO01-3%]]</f>
        <v>0</v>
      </c>
      <c r="L247" s="34">
        <f>(Tabela14[[#This Row],[PRECO 3%]]*0.05)+Tabela14[[#This Row],[PRECO 3%]]</f>
        <v>6.9089999999999998</v>
      </c>
      <c r="M247" s="34">
        <f>(Tabela14[[#This Row],[REGIÃO02 - 3%]]*0.06)+Tabela14[[#This Row],[REGIÃO02 - 3%]]</f>
        <v>7.3235399999999995</v>
      </c>
      <c r="N247" s="34">
        <f>(Tabela14[[#This Row],[PRECO 3%]]*0.08)+Tabela14[[#This Row],[PRECO 3%]]</f>
        <v>7.1063999999999998</v>
      </c>
      <c r="O247" s="34">
        <f>(Tabela14[[#This Row],[REGIÃO03-3%]]*0.06)+Tabela14[[#This Row],[REGIÃO03-3%]]</f>
        <v>7.5327839999999995</v>
      </c>
      <c r="P247" s="34">
        <f>(Tabela14[[#This Row],[PRECO 3%]]*0.06)+Tabela14[[#This Row],[PRECO 3%]]</f>
        <v>6.9748000000000001</v>
      </c>
      <c r="Q247" s="34">
        <f>(Tabela14[[#This Row],[REGIÃO04-3%]]*0.06)+Tabela14[[#This Row],[REGIÃO04-3%]]</f>
        <v>7.3932880000000001</v>
      </c>
    </row>
    <row r="248" spans="1:17" x14ac:dyDescent="0.25">
      <c r="A248" s="6">
        <v>1612</v>
      </c>
      <c r="B248" s="6" t="s">
        <v>394</v>
      </c>
      <c r="C248" s="6" t="s">
        <v>387</v>
      </c>
      <c r="D248" s="6" t="s">
        <v>372</v>
      </c>
      <c r="E248" s="1" t="s">
        <v>380</v>
      </c>
      <c r="F248" t="s">
        <v>4</v>
      </c>
      <c r="H248" s="25">
        <v>7.1063999999999998</v>
      </c>
      <c r="I248" s="34">
        <f>Tabela14[[#This Row],[PRECO 3%]]+(Tabela14[[#This Row],[PRECO 3%]]*0.06)</f>
        <v>7.5327839999999995</v>
      </c>
      <c r="J248" s="34"/>
      <c r="K248" s="34">
        <f>(Tabela14[[#This Row],[REGIÃO01-3%]]*0.06)+Tabela14[[#This Row],[REGIÃO01-3%]]</f>
        <v>0</v>
      </c>
      <c r="L248" s="34">
        <f>(Tabela14[[#This Row],[PRECO 3%]]*0.05)+Tabela14[[#This Row],[PRECO 3%]]</f>
        <v>7.4617199999999997</v>
      </c>
      <c r="M248" s="34">
        <f>(Tabela14[[#This Row],[REGIÃO02 - 3%]]*0.06)+Tabela14[[#This Row],[REGIÃO02 - 3%]]</f>
        <v>7.9094232</v>
      </c>
      <c r="N248" s="34">
        <f>(Tabela14[[#This Row],[PRECO 3%]]*0.08)+Tabela14[[#This Row],[PRECO 3%]]</f>
        <v>7.674912</v>
      </c>
      <c r="O248" s="34">
        <f>(Tabela14[[#This Row],[REGIÃO03-3%]]*0.06)+Tabela14[[#This Row],[REGIÃO03-3%]]</f>
        <v>8.1354067200000006</v>
      </c>
      <c r="P248" s="34">
        <f>(Tabela14[[#This Row],[PRECO 3%]]*0.06)+Tabela14[[#This Row],[PRECO 3%]]</f>
        <v>7.5327839999999995</v>
      </c>
      <c r="Q248" s="34">
        <f>(Tabela14[[#This Row],[REGIÃO04-3%]]*0.06)+Tabela14[[#This Row],[REGIÃO04-3%]]</f>
        <v>7.984751039999999</v>
      </c>
    </row>
    <row r="249" spans="1:17" x14ac:dyDescent="0.25">
      <c r="A249">
        <v>1613</v>
      </c>
      <c r="B249" t="s">
        <v>62</v>
      </c>
      <c r="C249" t="s">
        <v>39</v>
      </c>
      <c r="D249" t="s">
        <v>28</v>
      </c>
      <c r="E249" s="1" t="s">
        <v>322</v>
      </c>
      <c r="F249" t="e">
        <f>VLOOKUP(Tabela14[[#This Row],[ID_COD]],Tabela2[],6,0)</f>
        <v>#N/A</v>
      </c>
      <c r="G249" t="s">
        <v>86</v>
      </c>
      <c r="H249" s="2">
        <v>7.7</v>
      </c>
      <c r="I249" s="34">
        <f>Tabela14[[#This Row],[PRECO 3%]]+(Tabela14[[#This Row],[PRECO 3%]]*0.06)</f>
        <v>8.1620000000000008</v>
      </c>
      <c r="J249" s="34"/>
      <c r="K249" s="34">
        <f>(Tabela14[[#This Row],[REGIÃO01-3%]]*0.06)+Tabela14[[#This Row],[REGIÃO01-3%]]</f>
        <v>0</v>
      </c>
      <c r="L249" s="34">
        <f>(Tabela14[[#This Row],[PRECO 3%]]*0.05)+Tabela14[[#This Row],[PRECO 3%]]</f>
        <v>8.0850000000000009</v>
      </c>
      <c r="M249" s="34">
        <f>(Tabela14[[#This Row],[REGIÃO02 - 3%]]*0.06)+Tabela14[[#This Row],[REGIÃO02 - 3%]]</f>
        <v>8.5701000000000001</v>
      </c>
      <c r="N249" s="34">
        <f>(Tabela14[[#This Row],[PRECO 3%]]*0.08)+Tabela14[[#This Row],[PRECO 3%]]</f>
        <v>8.3160000000000007</v>
      </c>
      <c r="O249" s="34">
        <f>(Tabela14[[#This Row],[REGIÃO03-3%]]*0.06)+Tabela14[[#This Row],[REGIÃO03-3%]]</f>
        <v>8.814960000000001</v>
      </c>
      <c r="P249" s="34">
        <f>(Tabela14[[#This Row],[PRECO 3%]]*0.06)+Tabela14[[#This Row],[PRECO 3%]]</f>
        <v>8.1620000000000008</v>
      </c>
      <c r="Q249" s="34">
        <f>(Tabela14[[#This Row],[REGIÃO04-3%]]*0.06)+Tabela14[[#This Row],[REGIÃO04-3%]]</f>
        <v>8.651720000000001</v>
      </c>
    </row>
    <row r="250" spans="1:17" x14ac:dyDescent="0.25">
      <c r="A250" s="6">
        <v>1613</v>
      </c>
      <c r="B250" s="6" t="s">
        <v>394</v>
      </c>
      <c r="C250" s="6" t="s">
        <v>388</v>
      </c>
      <c r="D250" s="6" t="s">
        <v>372</v>
      </c>
      <c r="E250" s="1" t="s">
        <v>391</v>
      </c>
      <c r="F250" t="s">
        <v>4</v>
      </c>
      <c r="H250" s="25">
        <v>8.3160000000000007</v>
      </c>
      <c r="I250" s="34">
        <f>Tabela14[[#This Row],[PRECO 3%]]+(Tabela14[[#This Row],[PRECO 3%]]*0.06)</f>
        <v>8.814960000000001</v>
      </c>
      <c r="J250" s="34"/>
      <c r="K250" s="34">
        <f>(Tabela14[[#This Row],[REGIÃO01-3%]]*0.06)+Tabela14[[#This Row],[REGIÃO01-3%]]</f>
        <v>0</v>
      </c>
      <c r="L250" s="34">
        <f>(Tabela14[[#This Row],[PRECO 3%]]*0.05)+Tabela14[[#This Row],[PRECO 3%]]</f>
        <v>8.7318000000000016</v>
      </c>
      <c r="M250" s="34">
        <f>(Tabela14[[#This Row],[REGIÃO02 - 3%]]*0.06)+Tabela14[[#This Row],[REGIÃO02 - 3%]]</f>
        <v>9.255708000000002</v>
      </c>
      <c r="N250" s="34">
        <f>(Tabela14[[#This Row],[PRECO 3%]]*0.08)+Tabela14[[#This Row],[PRECO 3%]]</f>
        <v>8.9812800000000017</v>
      </c>
      <c r="O250" s="34">
        <f>(Tabela14[[#This Row],[REGIÃO03-3%]]*0.06)+Tabela14[[#This Row],[REGIÃO03-3%]]</f>
        <v>9.5201568000000023</v>
      </c>
      <c r="P250" s="34">
        <f>(Tabela14[[#This Row],[PRECO 3%]]*0.06)+Tabela14[[#This Row],[PRECO 3%]]</f>
        <v>8.814960000000001</v>
      </c>
      <c r="Q250" s="34">
        <f>(Tabela14[[#This Row],[REGIÃO04-3%]]*0.06)+Tabela14[[#This Row],[REGIÃO04-3%]]</f>
        <v>9.3438576000000015</v>
      </c>
    </row>
    <row r="251" spans="1:17" x14ac:dyDescent="0.25">
      <c r="A251">
        <v>1614</v>
      </c>
      <c r="B251" t="s">
        <v>62</v>
      </c>
      <c r="C251" t="s">
        <v>40</v>
      </c>
      <c r="D251" t="s">
        <v>28</v>
      </c>
      <c r="E251" s="1" t="s">
        <v>322</v>
      </c>
      <c r="F251" t="e">
        <f>VLOOKUP(Tabela14[[#This Row],[ID_COD]],Tabela2[],6,0)</f>
        <v>#N/A</v>
      </c>
      <c r="G251" t="s">
        <v>94</v>
      </c>
      <c r="H251" s="2">
        <v>9.99</v>
      </c>
      <c r="I251" s="34">
        <f>Tabela14[[#This Row],[PRECO 3%]]+(Tabela14[[#This Row],[PRECO 3%]]*0.06)</f>
        <v>10.589399999999999</v>
      </c>
      <c r="J251" s="34"/>
      <c r="K251" s="34">
        <f>(Tabela14[[#This Row],[REGIÃO01-3%]]*0.06)+Tabela14[[#This Row],[REGIÃO01-3%]]</f>
        <v>0</v>
      </c>
      <c r="L251" s="34">
        <f>(Tabela14[[#This Row],[PRECO 3%]]*0.05)+Tabela14[[#This Row],[PRECO 3%]]</f>
        <v>10.4895</v>
      </c>
      <c r="M251" s="34">
        <f>(Tabela14[[#This Row],[REGIÃO02 - 3%]]*0.06)+Tabela14[[#This Row],[REGIÃO02 - 3%]]</f>
        <v>11.118869999999999</v>
      </c>
      <c r="N251" s="34">
        <f>(Tabela14[[#This Row],[PRECO 3%]]*0.08)+Tabela14[[#This Row],[PRECO 3%]]</f>
        <v>10.789200000000001</v>
      </c>
      <c r="O251" s="34">
        <f>(Tabela14[[#This Row],[REGIÃO03-3%]]*0.06)+Tabela14[[#This Row],[REGIÃO03-3%]]</f>
        <v>11.436552000000001</v>
      </c>
      <c r="P251" s="34">
        <f>(Tabela14[[#This Row],[PRECO 3%]]*0.06)+Tabela14[[#This Row],[PRECO 3%]]</f>
        <v>10.589399999999999</v>
      </c>
      <c r="Q251" s="34">
        <f>(Tabela14[[#This Row],[REGIÃO04-3%]]*0.06)+Tabela14[[#This Row],[REGIÃO04-3%]]</f>
        <v>11.224763999999999</v>
      </c>
    </row>
    <row r="252" spans="1:17" x14ac:dyDescent="0.25">
      <c r="A252" s="6">
        <v>1614</v>
      </c>
      <c r="B252" s="6" t="s">
        <v>394</v>
      </c>
      <c r="C252" s="6" t="s">
        <v>390</v>
      </c>
      <c r="D252" s="6" t="s">
        <v>372</v>
      </c>
      <c r="E252" s="1" t="s">
        <v>399</v>
      </c>
      <c r="F252" t="s">
        <v>4</v>
      </c>
      <c r="H252" s="25">
        <v>10.789200000000001</v>
      </c>
      <c r="I252" s="34">
        <f>Tabela14[[#This Row],[PRECO 3%]]+(Tabela14[[#This Row],[PRECO 3%]]*0.06)</f>
        <v>11.436552000000001</v>
      </c>
      <c r="J252" s="34"/>
      <c r="K252" s="34">
        <f>(Tabela14[[#This Row],[REGIÃO01-3%]]*0.06)+Tabela14[[#This Row],[REGIÃO01-3%]]</f>
        <v>0</v>
      </c>
      <c r="L252" s="34">
        <f>(Tabela14[[#This Row],[PRECO 3%]]*0.05)+Tabela14[[#This Row],[PRECO 3%]]</f>
        <v>11.328660000000001</v>
      </c>
      <c r="M252" s="34">
        <f>(Tabela14[[#This Row],[REGIÃO02 - 3%]]*0.06)+Tabela14[[#This Row],[REGIÃO02 - 3%]]</f>
        <v>12.008379600000001</v>
      </c>
      <c r="N252" s="34">
        <f>(Tabela14[[#This Row],[PRECO 3%]]*0.08)+Tabela14[[#This Row],[PRECO 3%]]</f>
        <v>11.652336000000002</v>
      </c>
      <c r="O252" s="34">
        <f>(Tabela14[[#This Row],[REGIÃO03-3%]]*0.06)+Tabela14[[#This Row],[REGIÃO03-3%]]</f>
        <v>12.351476160000002</v>
      </c>
      <c r="P252" s="34">
        <f>(Tabela14[[#This Row],[PRECO 3%]]*0.06)+Tabela14[[#This Row],[PRECO 3%]]</f>
        <v>11.436552000000001</v>
      </c>
      <c r="Q252" s="34">
        <f>(Tabela14[[#This Row],[REGIÃO04-3%]]*0.06)+Tabela14[[#This Row],[REGIÃO04-3%]]</f>
        <v>12.122745120000001</v>
      </c>
    </row>
    <row r="253" spans="1:17" x14ac:dyDescent="0.25">
      <c r="A253">
        <v>1615</v>
      </c>
      <c r="B253" t="s">
        <v>62</v>
      </c>
      <c r="C253" t="s">
        <v>42</v>
      </c>
      <c r="D253" t="s">
        <v>28</v>
      </c>
      <c r="E253" s="1" t="s">
        <v>322</v>
      </c>
      <c r="F253" t="e">
        <f>VLOOKUP(Tabela14[[#This Row],[ID_COD]],Tabela2[],6,0)</f>
        <v>#N/A</v>
      </c>
      <c r="G253" t="s">
        <v>168</v>
      </c>
      <c r="H253" s="2">
        <v>14.3</v>
      </c>
      <c r="I253" s="34">
        <f>Tabela14[[#This Row],[PRECO 3%]]+(Tabela14[[#This Row],[PRECO 3%]]*0.06)</f>
        <v>15.158000000000001</v>
      </c>
      <c r="J253" s="34"/>
      <c r="K253" s="34">
        <f>(Tabela14[[#This Row],[REGIÃO01-3%]]*0.06)+Tabela14[[#This Row],[REGIÃO01-3%]]</f>
        <v>0</v>
      </c>
      <c r="L253" s="34">
        <f>(Tabela14[[#This Row],[PRECO 3%]]*0.05)+Tabela14[[#This Row],[PRECO 3%]]</f>
        <v>15.015000000000001</v>
      </c>
      <c r="M253" s="34">
        <f>(Tabela14[[#This Row],[REGIÃO02 - 3%]]*0.06)+Tabela14[[#This Row],[REGIÃO02 - 3%]]</f>
        <v>15.915900000000001</v>
      </c>
      <c r="N253" s="34">
        <f>(Tabela14[[#This Row],[PRECO 3%]]*0.08)+Tabela14[[#This Row],[PRECO 3%]]</f>
        <v>15.444000000000001</v>
      </c>
      <c r="O253" s="34">
        <f>(Tabela14[[#This Row],[REGIÃO03-3%]]*0.06)+Tabela14[[#This Row],[REGIÃO03-3%]]</f>
        <v>16.370640000000002</v>
      </c>
      <c r="P253" s="34">
        <f>(Tabela14[[#This Row],[PRECO 3%]]*0.06)+Tabela14[[#This Row],[PRECO 3%]]</f>
        <v>15.158000000000001</v>
      </c>
      <c r="Q253" s="34">
        <f>(Tabela14[[#This Row],[REGIÃO04-3%]]*0.06)+Tabela14[[#This Row],[REGIÃO04-3%]]</f>
        <v>16.06748</v>
      </c>
    </row>
    <row r="254" spans="1:17" x14ac:dyDescent="0.25">
      <c r="A254" s="19">
        <v>1615</v>
      </c>
      <c r="B254" s="19" t="s">
        <v>394</v>
      </c>
      <c r="C254" s="19" t="s">
        <v>392</v>
      </c>
      <c r="D254" s="19" t="s">
        <v>372</v>
      </c>
      <c r="E254" s="20" t="s">
        <v>400</v>
      </c>
      <c r="F254" s="21" t="s">
        <v>4</v>
      </c>
      <c r="G254" s="21"/>
      <c r="H254" s="25">
        <v>15.444000000000001</v>
      </c>
      <c r="I254" s="34">
        <f>Tabela14[[#This Row],[PRECO 3%]]+(Tabela14[[#This Row],[PRECO 3%]]*0.06)</f>
        <v>16.370640000000002</v>
      </c>
      <c r="J254" s="34"/>
      <c r="K254" s="34">
        <f>(Tabela14[[#This Row],[REGIÃO01-3%]]*0.06)+Tabela14[[#This Row],[REGIÃO01-3%]]</f>
        <v>0</v>
      </c>
      <c r="L254" s="34">
        <f>(Tabela14[[#This Row],[PRECO 3%]]*0.05)+Tabela14[[#This Row],[PRECO 3%]]</f>
        <v>16.216200000000001</v>
      </c>
      <c r="M254" s="34">
        <f>(Tabela14[[#This Row],[REGIÃO02 - 3%]]*0.06)+Tabela14[[#This Row],[REGIÃO02 - 3%]]</f>
        <v>17.189171999999999</v>
      </c>
      <c r="N254" s="34">
        <f>(Tabela14[[#This Row],[PRECO 3%]]*0.08)+Tabela14[[#This Row],[PRECO 3%]]</f>
        <v>16.67952</v>
      </c>
      <c r="O254" s="34">
        <f>(Tabela14[[#This Row],[REGIÃO03-3%]]*0.06)+Tabela14[[#This Row],[REGIÃO03-3%]]</f>
        <v>17.680291199999999</v>
      </c>
      <c r="P254" s="34">
        <f>(Tabela14[[#This Row],[PRECO 3%]]*0.06)+Tabela14[[#This Row],[PRECO 3%]]</f>
        <v>16.370640000000002</v>
      </c>
      <c r="Q254" s="34">
        <f>(Tabela14[[#This Row],[REGIÃO04-3%]]*0.06)+Tabela14[[#This Row],[REGIÃO04-3%]]</f>
        <v>17.352878400000002</v>
      </c>
    </row>
    <row r="255" spans="1:17" x14ac:dyDescent="0.25">
      <c r="A255">
        <v>1616</v>
      </c>
      <c r="B255" t="s">
        <v>62</v>
      </c>
      <c r="C255" t="s">
        <v>30</v>
      </c>
      <c r="D255" t="s">
        <v>28</v>
      </c>
      <c r="E255" s="1" t="s">
        <v>322</v>
      </c>
      <c r="F255" t="e">
        <f>VLOOKUP(Tabela14[[#This Row],[ID_COD]],Tabela2[],6,0)</f>
        <v>#N/A</v>
      </c>
      <c r="G255" t="s">
        <v>70</v>
      </c>
      <c r="H255" s="2">
        <v>3.85</v>
      </c>
      <c r="I255" s="34">
        <f>Tabela14[[#This Row],[PRECO 3%]]+(Tabela14[[#This Row],[PRECO 3%]]*0.06)</f>
        <v>4.0810000000000004</v>
      </c>
      <c r="J255" s="34"/>
      <c r="K255" s="34">
        <f>(Tabela14[[#This Row],[REGIÃO01-3%]]*0.06)+Tabela14[[#This Row],[REGIÃO01-3%]]</f>
        <v>0</v>
      </c>
      <c r="L255" s="34">
        <f>(Tabela14[[#This Row],[PRECO 3%]]*0.05)+Tabela14[[#This Row],[PRECO 3%]]</f>
        <v>4.0425000000000004</v>
      </c>
      <c r="M255" s="34">
        <f>(Tabela14[[#This Row],[REGIÃO02 - 3%]]*0.06)+Tabela14[[#This Row],[REGIÃO02 - 3%]]</f>
        <v>4.28505</v>
      </c>
      <c r="N255" s="34">
        <f>(Tabela14[[#This Row],[PRECO 3%]]*0.08)+Tabela14[[#This Row],[PRECO 3%]]</f>
        <v>4.1580000000000004</v>
      </c>
      <c r="O255" s="34">
        <f>(Tabela14[[#This Row],[REGIÃO03-3%]]*0.06)+Tabela14[[#This Row],[REGIÃO03-3%]]</f>
        <v>4.4074800000000005</v>
      </c>
      <c r="P255" s="34">
        <f>(Tabela14[[#This Row],[PRECO 3%]]*0.06)+Tabela14[[#This Row],[PRECO 3%]]</f>
        <v>4.0810000000000004</v>
      </c>
      <c r="Q255" s="34">
        <f>(Tabela14[[#This Row],[REGIÃO04-3%]]*0.06)+Tabela14[[#This Row],[REGIÃO04-3%]]</f>
        <v>4.3258600000000005</v>
      </c>
    </row>
    <row r="256" spans="1:17" x14ac:dyDescent="0.25">
      <c r="A256" s="6">
        <v>1616</v>
      </c>
      <c r="B256" s="6" t="s">
        <v>394</v>
      </c>
      <c r="C256" s="6" t="s">
        <v>374</v>
      </c>
      <c r="D256" s="6" t="s">
        <v>372</v>
      </c>
      <c r="E256" s="1" t="s">
        <v>375</v>
      </c>
      <c r="F256" t="s">
        <v>4</v>
      </c>
      <c r="H256" s="25">
        <v>4.1580000000000004</v>
      </c>
      <c r="I256" s="34">
        <f>Tabela14[[#This Row],[PRECO 3%]]+(Tabela14[[#This Row],[PRECO 3%]]*0.06)</f>
        <v>4.4074800000000005</v>
      </c>
      <c r="J256" s="34"/>
      <c r="K256" s="34">
        <f>(Tabela14[[#This Row],[REGIÃO01-3%]]*0.06)+Tabela14[[#This Row],[REGIÃO01-3%]]</f>
        <v>0</v>
      </c>
      <c r="L256" s="34">
        <f>(Tabela14[[#This Row],[PRECO 3%]]*0.05)+Tabela14[[#This Row],[PRECO 3%]]</f>
        <v>4.3659000000000008</v>
      </c>
      <c r="M256" s="34">
        <f>(Tabela14[[#This Row],[REGIÃO02 - 3%]]*0.06)+Tabela14[[#This Row],[REGIÃO02 - 3%]]</f>
        <v>4.627854000000001</v>
      </c>
      <c r="N256" s="34">
        <f>(Tabela14[[#This Row],[PRECO 3%]]*0.08)+Tabela14[[#This Row],[PRECO 3%]]</f>
        <v>4.4906400000000009</v>
      </c>
      <c r="O256" s="34">
        <f>(Tabela14[[#This Row],[REGIÃO03-3%]]*0.06)+Tabela14[[#This Row],[REGIÃO03-3%]]</f>
        <v>4.7600784000000012</v>
      </c>
      <c r="P256" s="34">
        <f>(Tabela14[[#This Row],[PRECO 3%]]*0.06)+Tabela14[[#This Row],[PRECO 3%]]</f>
        <v>4.4074800000000005</v>
      </c>
      <c r="Q256" s="34">
        <f>(Tabela14[[#This Row],[REGIÃO04-3%]]*0.06)+Tabela14[[#This Row],[REGIÃO04-3%]]</f>
        <v>4.6719288000000008</v>
      </c>
    </row>
    <row r="257" spans="1:17" x14ac:dyDescent="0.25">
      <c r="A257">
        <v>1617</v>
      </c>
      <c r="B257" t="s">
        <v>62</v>
      </c>
      <c r="C257" t="s">
        <v>31</v>
      </c>
      <c r="D257" t="s">
        <v>28</v>
      </c>
      <c r="E257" s="1" t="s">
        <v>322</v>
      </c>
      <c r="F257" t="e">
        <f>VLOOKUP(Tabela14[[#This Row],[ID_COD]],Tabela2[],6,0)</f>
        <v>#N/A</v>
      </c>
      <c r="G257" t="s">
        <v>75</v>
      </c>
      <c r="H257" s="2">
        <v>4.76</v>
      </c>
      <c r="I257" s="34">
        <f>Tabela14[[#This Row],[PRECO 3%]]+(Tabela14[[#This Row],[PRECO 3%]]*0.06)</f>
        <v>5.0455999999999994</v>
      </c>
      <c r="J257" s="34"/>
      <c r="K257" s="34">
        <f>(Tabela14[[#This Row],[REGIÃO01-3%]]*0.06)+Tabela14[[#This Row],[REGIÃO01-3%]]</f>
        <v>0</v>
      </c>
      <c r="L257" s="34">
        <f>(Tabela14[[#This Row],[PRECO 3%]]*0.05)+Tabela14[[#This Row],[PRECO 3%]]</f>
        <v>4.9979999999999993</v>
      </c>
      <c r="M257" s="34">
        <f>(Tabela14[[#This Row],[REGIÃO02 - 3%]]*0.06)+Tabela14[[#This Row],[REGIÃO02 - 3%]]</f>
        <v>5.2978799999999993</v>
      </c>
      <c r="N257" s="34">
        <f>(Tabela14[[#This Row],[PRECO 3%]]*0.08)+Tabela14[[#This Row],[PRECO 3%]]</f>
        <v>5.1407999999999996</v>
      </c>
      <c r="O257" s="34">
        <f>(Tabela14[[#This Row],[REGIÃO03-3%]]*0.06)+Tabela14[[#This Row],[REGIÃO03-3%]]</f>
        <v>5.4492479999999999</v>
      </c>
      <c r="P257" s="34">
        <f>(Tabela14[[#This Row],[PRECO 3%]]*0.06)+Tabela14[[#This Row],[PRECO 3%]]</f>
        <v>5.0455999999999994</v>
      </c>
      <c r="Q257" s="34">
        <f>(Tabela14[[#This Row],[REGIÃO04-3%]]*0.06)+Tabela14[[#This Row],[REGIÃO04-3%]]</f>
        <v>5.3483359999999998</v>
      </c>
    </row>
    <row r="258" spans="1:17" x14ac:dyDescent="0.25">
      <c r="A258" s="6">
        <v>1617</v>
      </c>
      <c r="B258" s="6" t="s">
        <v>394</v>
      </c>
      <c r="C258" s="6" t="s">
        <v>376</v>
      </c>
      <c r="D258" s="6" t="s">
        <v>372</v>
      </c>
      <c r="E258" s="1" t="s">
        <v>395</v>
      </c>
      <c r="F258" t="s">
        <v>4</v>
      </c>
      <c r="H258" s="25">
        <v>5.1407999999999996</v>
      </c>
      <c r="I258" s="34">
        <f>Tabela14[[#This Row],[PRECO 3%]]+(Tabela14[[#This Row],[PRECO 3%]]*0.06)</f>
        <v>5.4492479999999999</v>
      </c>
      <c r="J258" s="34"/>
      <c r="K258" s="34">
        <f>(Tabela14[[#This Row],[REGIÃO01-3%]]*0.06)+Tabela14[[#This Row],[REGIÃO01-3%]]</f>
        <v>0</v>
      </c>
      <c r="L258" s="34">
        <f>(Tabela14[[#This Row],[PRECO 3%]]*0.05)+Tabela14[[#This Row],[PRECO 3%]]</f>
        <v>5.3978399999999995</v>
      </c>
      <c r="M258" s="34">
        <f>(Tabela14[[#This Row],[REGIÃO02 - 3%]]*0.06)+Tabela14[[#This Row],[REGIÃO02 - 3%]]</f>
        <v>5.7217103999999992</v>
      </c>
      <c r="N258" s="34">
        <f>(Tabela14[[#This Row],[PRECO 3%]]*0.08)+Tabela14[[#This Row],[PRECO 3%]]</f>
        <v>5.5520639999999997</v>
      </c>
      <c r="O258" s="34">
        <f>(Tabela14[[#This Row],[REGIÃO03-3%]]*0.06)+Tabela14[[#This Row],[REGIÃO03-3%]]</f>
        <v>5.8851878399999995</v>
      </c>
      <c r="P258" s="34">
        <f>(Tabela14[[#This Row],[PRECO 3%]]*0.06)+Tabela14[[#This Row],[PRECO 3%]]</f>
        <v>5.4492479999999999</v>
      </c>
      <c r="Q258" s="34">
        <f>(Tabela14[[#This Row],[REGIÃO04-3%]]*0.06)+Tabela14[[#This Row],[REGIÃO04-3%]]</f>
        <v>5.7762028799999996</v>
      </c>
    </row>
    <row r="259" spans="1:17" x14ac:dyDescent="0.25">
      <c r="A259">
        <v>1618</v>
      </c>
      <c r="B259" t="s">
        <v>62</v>
      </c>
      <c r="C259" t="s">
        <v>32</v>
      </c>
      <c r="D259" t="s">
        <v>28</v>
      </c>
      <c r="E259" s="1" t="s">
        <v>322</v>
      </c>
      <c r="F259" t="e">
        <f>VLOOKUP(Tabela14[[#This Row],[ID_COD]],Tabela2[],6,0)</f>
        <v>#N/A</v>
      </c>
      <c r="G259" t="s">
        <v>140</v>
      </c>
      <c r="H259" s="2">
        <v>5.47</v>
      </c>
      <c r="I259" s="34">
        <f>Tabela14[[#This Row],[PRECO 3%]]+(Tabela14[[#This Row],[PRECO 3%]]*0.06)</f>
        <v>5.7981999999999996</v>
      </c>
      <c r="J259" s="34"/>
      <c r="K259" s="34">
        <f>(Tabela14[[#This Row],[REGIÃO01-3%]]*0.06)+Tabela14[[#This Row],[REGIÃO01-3%]]</f>
        <v>0</v>
      </c>
      <c r="L259" s="34">
        <f>(Tabela14[[#This Row],[PRECO 3%]]*0.05)+Tabela14[[#This Row],[PRECO 3%]]</f>
        <v>5.7435</v>
      </c>
      <c r="M259" s="34">
        <f>(Tabela14[[#This Row],[REGIÃO02 - 3%]]*0.06)+Tabela14[[#This Row],[REGIÃO02 - 3%]]</f>
        <v>6.0881100000000004</v>
      </c>
      <c r="N259" s="34">
        <f>(Tabela14[[#This Row],[PRECO 3%]]*0.08)+Tabela14[[#This Row],[PRECO 3%]]</f>
        <v>5.9075999999999995</v>
      </c>
      <c r="O259" s="34">
        <f>(Tabela14[[#This Row],[REGIÃO03-3%]]*0.06)+Tabela14[[#This Row],[REGIÃO03-3%]]</f>
        <v>6.2620559999999994</v>
      </c>
      <c r="P259" s="34">
        <f>(Tabela14[[#This Row],[PRECO 3%]]*0.06)+Tabela14[[#This Row],[PRECO 3%]]</f>
        <v>5.7981999999999996</v>
      </c>
      <c r="Q259" s="34">
        <f>(Tabela14[[#This Row],[REGIÃO04-3%]]*0.06)+Tabela14[[#This Row],[REGIÃO04-3%]]</f>
        <v>6.1460919999999994</v>
      </c>
    </row>
    <row r="260" spans="1:17" x14ac:dyDescent="0.25">
      <c r="A260" s="6">
        <v>1618</v>
      </c>
      <c r="B260" s="6" t="s">
        <v>394</v>
      </c>
      <c r="C260" s="6" t="s">
        <v>377</v>
      </c>
      <c r="D260" s="6" t="s">
        <v>372</v>
      </c>
      <c r="E260" s="1" t="s">
        <v>380</v>
      </c>
      <c r="F260" t="s">
        <v>4</v>
      </c>
      <c r="H260" s="25">
        <v>5.9075999999999995</v>
      </c>
      <c r="I260" s="34">
        <f>Tabela14[[#This Row],[PRECO 3%]]+(Tabela14[[#This Row],[PRECO 3%]]*0.06)</f>
        <v>6.2620559999999994</v>
      </c>
      <c r="J260" s="34"/>
      <c r="K260" s="34">
        <f>(Tabela14[[#This Row],[REGIÃO01-3%]]*0.06)+Tabela14[[#This Row],[REGIÃO01-3%]]</f>
        <v>0</v>
      </c>
      <c r="L260" s="34">
        <f>(Tabela14[[#This Row],[PRECO 3%]]*0.05)+Tabela14[[#This Row],[PRECO 3%]]</f>
        <v>6.2029799999999993</v>
      </c>
      <c r="M260" s="34">
        <f>(Tabela14[[#This Row],[REGIÃO02 - 3%]]*0.06)+Tabela14[[#This Row],[REGIÃO02 - 3%]]</f>
        <v>6.5751587999999987</v>
      </c>
      <c r="N260" s="34">
        <f>(Tabela14[[#This Row],[PRECO 3%]]*0.08)+Tabela14[[#This Row],[PRECO 3%]]</f>
        <v>6.3802079999999997</v>
      </c>
      <c r="O260" s="34">
        <f>(Tabela14[[#This Row],[REGIÃO03-3%]]*0.06)+Tabela14[[#This Row],[REGIÃO03-3%]]</f>
        <v>6.7630204799999998</v>
      </c>
      <c r="P260" s="34">
        <f>(Tabela14[[#This Row],[PRECO 3%]]*0.06)+Tabela14[[#This Row],[PRECO 3%]]</f>
        <v>6.2620559999999994</v>
      </c>
      <c r="Q260" s="34">
        <f>(Tabela14[[#This Row],[REGIÃO04-3%]]*0.06)+Tabela14[[#This Row],[REGIÃO04-3%]]</f>
        <v>6.6377793599999997</v>
      </c>
    </row>
    <row r="261" spans="1:17" x14ac:dyDescent="0.25">
      <c r="A261">
        <v>1619</v>
      </c>
      <c r="B261" t="s">
        <v>62</v>
      </c>
      <c r="C261" t="s">
        <v>33</v>
      </c>
      <c r="D261" t="s">
        <v>28</v>
      </c>
      <c r="E261" s="1" t="s">
        <v>322</v>
      </c>
      <c r="F261" t="e">
        <f>VLOOKUP(Tabela14[[#This Row],[ID_COD]],Tabela2[],6,0)</f>
        <v>#N/A</v>
      </c>
      <c r="G261" t="s">
        <v>153</v>
      </c>
      <c r="H261" s="2">
        <v>7.03</v>
      </c>
      <c r="I261" s="34">
        <f>Tabela14[[#This Row],[PRECO 3%]]+(Tabela14[[#This Row],[PRECO 3%]]*0.06)</f>
        <v>7.4518000000000004</v>
      </c>
      <c r="J261" s="34"/>
      <c r="K261" s="34">
        <f>(Tabela14[[#This Row],[REGIÃO01-3%]]*0.06)+Tabela14[[#This Row],[REGIÃO01-3%]]</f>
        <v>0</v>
      </c>
      <c r="L261" s="34">
        <f>(Tabela14[[#This Row],[PRECO 3%]]*0.05)+Tabela14[[#This Row],[PRECO 3%]]</f>
        <v>7.3815</v>
      </c>
      <c r="M261" s="34">
        <f>(Tabela14[[#This Row],[REGIÃO02 - 3%]]*0.06)+Tabela14[[#This Row],[REGIÃO02 - 3%]]</f>
        <v>7.8243900000000002</v>
      </c>
      <c r="N261" s="34">
        <f>(Tabela14[[#This Row],[PRECO 3%]]*0.08)+Tabela14[[#This Row],[PRECO 3%]]</f>
        <v>7.5924000000000005</v>
      </c>
      <c r="O261" s="34">
        <f>(Tabela14[[#This Row],[REGIÃO03-3%]]*0.06)+Tabela14[[#This Row],[REGIÃO03-3%]]</f>
        <v>8.0479440000000011</v>
      </c>
      <c r="P261" s="34">
        <f>(Tabela14[[#This Row],[PRECO 3%]]*0.06)+Tabela14[[#This Row],[PRECO 3%]]</f>
        <v>7.4518000000000004</v>
      </c>
      <c r="Q261" s="34">
        <f>(Tabela14[[#This Row],[REGIÃO04-3%]]*0.06)+Tabela14[[#This Row],[REGIÃO04-3%]]</f>
        <v>7.8989080000000005</v>
      </c>
    </row>
    <row r="262" spans="1:17" x14ac:dyDescent="0.25">
      <c r="A262" s="6">
        <v>1619</v>
      </c>
      <c r="B262" s="6" t="s">
        <v>394</v>
      </c>
      <c r="C262" s="6" t="s">
        <v>379</v>
      </c>
      <c r="D262" s="6" t="s">
        <v>372</v>
      </c>
      <c r="E262" s="1" t="s">
        <v>396</v>
      </c>
      <c r="F262" t="s">
        <v>4</v>
      </c>
      <c r="H262" s="25">
        <v>7.5924000000000005</v>
      </c>
      <c r="I262" s="34">
        <f>Tabela14[[#This Row],[PRECO 3%]]+(Tabela14[[#This Row],[PRECO 3%]]*0.06)</f>
        <v>8.0479440000000011</v>
      </c>
      <c r="J262" s="34"/>
      <c r="K262" s="34">
        <f>(Tabela14[[#This Row],[REGIÃO01-3%]]*0.06)+Tabela14[[#This Row],[REGIÃO01-3%]]</f>
        <v>0</v>
      </c>
      <c r="L262" s="34">
        <f>(Tabela14[[#This Row],[PRECO 3%]]*0.05)+Tabela14[[#This Row],[PRECO 3%]]</f>
        <v>7.9720200000000006</v>
      </c>
      <c r="M262" s="34">
        <f>(Tabela14[[#This Row],[REGIÃO02 - 3%]]*0.06)+Tabela14[[#This Row],[REGIÃO02 - 3%]]</f>
        <v>8.4503412000000004</v>
      </c>
      <c r="N262" s="34">
        <f>(Tabela14[[#This Row],[PRECO 3%]]*0.08)+Tabela14[[#This Row],[PRECO 3%]]</f>
        <v>8.1997920000000004</v>
      </c>
      <c r="O262" s="34">
        <f>(Tabela14[[#This Row],[REGIÃO03-3%]]*0.06)+Tabela14[[#This Row],[REGIÃO03-3%]]</f>
        <v>8.6917795200000008</v>
      </c>
      <c r="P262" s="34">
        <f>(Tabela14[[#This Row],[PRECO 3%]]*0.06)+Tabela14[[#This Row],[PRECO 3%]]</f>
        <v>8.0479440000000011</v>
      </c>
      <c r="Q262" s="34">
        <f>(Tabela14[[#This Row],[REGIÃO04-3%]]*0.06)+Tabela14[[#This Row],[REGIÃO04-3%]]</f>
        <v>8.5308206400000017</v>
      </c>
    </row>
    <row r="263" spans="1:17" x14ac:dyDescent="0.25">
      <c r="A263">
        <v>1620</v>
      </c>
      <c r="B263" t="s">
        <v>62</v>
      </c>
      <c r="C263" t="s">
        <v>35</v>
      </c>
      <c r="D263" t="s">
        <v>28</v>
      </c>
      <c r="E263" s="1" t="s">
        <v>322</v>
      </c>
      <c r="F263" t="e">
        <f>VLOOKUP(Tabela14[[#This Row],[ID_COD]],Tabela2[],6,0)</f>
        <v>#N/A</v>
      </c>
      <c r="G263" t="s">
        <v>99</v>
      </c>
      <c r="H263" s="2">
        <v>10.42</v>
      </c>
      <c r="I263" s="34">
        <f>Tabela14[[#This Row],[PRECO 3%]]+(Tabela14[[#This Row],[PRECO 3%]]*0.06)</f>
        <v>11.045199999999999</v>
      </c>
      <c r="J263" s="34"/>
      <c r="K263" s="34">
        <f>(Tabela14[[#This Row],[REGIÃO01-3%]]*0.06)+Tabela14[[#This Row],[REGIÃO01-3%]]</f>
        <v>0</v>
      </c>
      <c r="L263" s="34">
        <f>(Tabela14[[#This Row],[PRECO 3%]]*0.05)+Tabela14[[#This Row],[PRECO 3%]]</f>
        <v>10.941000000000001</v>
      </c>
      <c r="M263" s="34">
        <f>(Tabela14[[#This Row],[REGIÃO02 - 3%]]*0.06)+Tabela14[[#This Row],[REGIÃO02 - 3%]]</f>
        <v>11.597460000000002</v>
      </c>
      <c r="N263" s="34">
        <f>(Tabela14[[#This Row],[PRECO 3%]]*0.08)+Tabela14[[#This Row],[PRECO 3%]]</f>
        <v>11.2536</v>
      </c>
      <c r="O263" s="34">
        <f>(Tabela14[[#This Row],[REGIÃO03-3%]]*0.06)+Tabela14[[#This Row],[REGIÃO03-3%]]</f>
        <v>11.928816000000001</v>
      </c>
      <c r="P263" s="34">
        <f>(Tabela14[[#This Row],[PRECO 3%]]*0.06)+Tabela14[[#This Row],[PRECO 3%]]</f>
        <v>11.045199999999999</v>
      </c>
      <c r="Q263" s="34">
        <f>(Tabela14[[#This Row],[REGIÃO04-3%]]*0.06)+Tabela14[[#This Row],[REGIÃO04-3%]]</f>
        <v>11.707912</v>
      </c>
    </row>
    <row r="264" spans="1:17" x14ac:dyDescent="0.25">
      <c r="A264" s="6">
        <v>1620</v>
      </c>
      <c r="B264" s="6" t="s">
        <v>394</v>
      </c>
      <c r="C264" s="6" t="s">
        <v>381</v>
      </c>
      <c r="D264" s="6" t="s">
        <v>372</v>
      </c>
      <c r="E264" s="1" t="s">
        <v>397</v>
      </c>
      <c r="F264" t="s">
        <v>4</v>
      </c>
      <c r="H264" s="25">
        <v>11.2536</v>
      </c>
      <c r="I264" s="34">
        <f>Tabela14[[#This Row],[PRECO 3%]]+(Tabela14[[#This Row],[PRECO 3%]]*0.06)</f>
        <v>11.928816000000001</v>
      </c>
      <c r="J264" s="34"/>
      <c r="K264" s="34">
        <f>(Tabela14[[#This Row],[REGIÃO01-3%]]*0.06)+Tabela14[[#This Row],[REGIÃO01-3%]]</f>
        <v>0</v>
      </c>
      <c r="L264" s="34">
        <f>(Tabela14[[#This Row],[PRECO 3%]]*0.05)+Tabela14[[#This Row],[PRECO 3%]]</f>
        <v>11.816280000000001</v>
      </c>
      <c r="M264" s="34">
        <f>(Tabela14[[#This Row],[REGIÃO02 - 3%]]*0.06)+Tabela14[[#This Row],[REGIÃO02 - 3%]]</f>
        <v>12.525256800000001</v>
      </c>
      <c r="N264" s="34">
        <f>(Tabela14[[#This Row],[PRECO 3%]]*0.08)+Tabela14[[#This Row],[PRECO 3%]]</f>
        <v>12.153888</v>
      </c>
      <c r="O264" s="34">
        <f>(Tabela14[[#This Row],[REGIÃO03-3%]]*0.06)+Tabela14[[#This Row],[REGIÃO03-3%]]</f>
        <v>12.883121280000001</v>
      </c>
      <c r="P264" s="34">
        <f>(Tabela14[[#This Row],[PRECO 3%]]*0.06)+Tabela14[[#This Row],[PRECO 3%]]</f>
        <v>11.928816000000001</v>
      </c>
      <c r="Q264" s="34">
        <f>(Tabela14[[#This Row],[REGIÃO04-3%]]*0.06)+Tabela14[[#This Row],[REGIÃO04-3%]]</f>
        <v>12.644544960000001</v>
      </c>
    </row>
    <row r="265" spans="1:17" x14ac:dyDescent="0.25">
      <c r="A265">
        <v>1621</v>
      </c>
      <c r="B265" t="s">
        <v>62</v>
      </c>
      <c r="C265" t="s">
        <v>45</v>
      </c>
      <c r="D265" t="s">
        <v>43</v>
      </c>
      <c r="E265" s="1" t="s">
        <v>322</v>
      </c>
      <c r="F265" t="e">
        <f>VLOOKUP(Tabela14[[#This Row],[ID_COD]],Tabela2[],6,0)</f>
        <v>#N/A</v>
      </c>
      <c r="G265" t="s">
        <v>113</v>
      </c>
      <c r="H265" s="2">
        <v>4.6399999999999997</v>
      </c>
      <c r="I265" s="34">
        <f>Tabela14[[#This Row],[PRECO 3%]]+(Tabela14[[#This Row],[PRECO 3%]]*0.06)</f>
        <v>4.9184000000000001</v>
      </c>
      <c r="J265" s="34"/>
      <c r="K265" s="34">
        <f>(Tabela14[[#This Row],[REGIÃO01-3%]]*0.06)+Tabela14[[#This Row],[REGIÃO01-3%]]</f>
        <v>0</v>
      </c>
      <c r="L265" s="34">
        <f>(Tabela14[[#This Row],[PRECO 3%]]*0.05)+Tabela14[[#This Row],[PRECO 3%]]</f>
        <v>4.8719999999999999</v>
      </c>
      <c r="M265" s="34">
        <f>(Tabela14[[#This Row],[REGIÃO02 - 3%]]*0.06)+Tabela14[[#This Row],[REGIÃO02 - 3%]]</f>
        <v>5.16432</v>
      </c>
      <c r="N265" s="34">
        <f>(Tabela14[[#This Row],[PRECO 3%]]*0.08)+Tabela14[[#This Row],[PRECO 3%]]</f>
        <v>5.0111999999999997</v>
      </c>
      <c r="O265" s="34">
        <f>(Tabela14[[#This Row],[REGIÃO03-3%]]*0.06)+Tabela14[[#This Row],[REGIÃO03-3%]]</f>
        <v>5.3118719999999993</v>
      </c>
      <c r="P265" s="34">
        <f>(Tabela14[[#This Row],[PRECO 3%]]*0.06)+Tabela14[[#This Row],[PRECO 3%]]</f>
        <v>4.9184000000000001</v>
      </c>
      <c r="Q265" s="34">
        <f>(Tabela14[[#This Row],[REGIÃO04-3%]]*0.06)+Tabela14[[#This Row],[REGIÃO04-3%]]</f>
        <v>5.2135040000000004</v>
      </c>
    </row>
    <row r="266" spans="1:17" x14ac:dyDescent="0.25">
      <c r="A266">
        <v>1622</v>
      </c>
      <c r="B266" t="s">
        <v>62</v>
      </c>
      <c r="C266" t="s">
        <v>46</v>
      </c>
      <c r="D266" t="s">
        <v>43</v>
      </c>
      <c r="E266" s="1" t="s">
        <v>322</v>
      </c>
      <c r="F266" t="e">
        <f>VLOOKUP(Tabela14[[#This Row],[ID_COD]],Tabela2[],6,0)</f>
        <v>#N/A</v>
      </c>
      <c r="G266" t="s">
        <v>76</v>
      </c>
      <c r="H266" s="2">
        <v>5.74</v>
      </c>
      <c r="I266" s="34">
        <f>Tabela14[[#This Row],[PRECO 3%]]+(Tabela14[[#This Row],[PRECO 3%]]*0.06)</f>
        <v>6.0844000000000005</v>
      </c>
      <c r="J266" s="34"/>
      <c r="K266" s="34">
        <f>(Tabela14[[#This Row],[REGIÃO01-3%]]*0.06)+Tabela14[[#This Row],[REGIÃO01-3%]]</f>
        <v>0</v>
      </c>
      <c r="L266" s="34">
        <f>(Tabela14[[#This Row],[PRECO 3%]]*0.05)+Tabela14[[#This Row],[PRECO 3%]]</f>
        <v>6.0270000000000001</v>
      </c>
      <c r="M266" s="34">
        <f>(Tabela14[[#This Row],[REGIÃO02 - 3%]]*0.06)+Tabela14[[#This Row],[REGIÃO02 - 3%]]</f>
        <v>6.3886200000000004</v>
      </c>
      <c r="N266" s="34">
        <f>(Tabela14[[#This Row],[PRECO 3%]]*0.08)+Tabela14[[#This Row],[PRECO 3%]]</f>
        <v>6.1992000000000003</v>
      </c>
      <c r="O266" s="34">
        <f>(Tabela14[[#This Row],[REGIÃO03-3%]]*0.06)+Tabela14[[#This Row],[REGIÃO03-3%]]</f>
        <v>6.5711520000000005</v>
      </c>
      <c r="P266" s="34">
        <f>(Tabela14[[#This Row],[PRECO 3%]]*0.06)+Tabela14[[#This Row],[PRECO 3%]]</f>
        <v>6.0844000000000005</v>
      </c>
      <c r="Q266" s="34">
        <f>(Tabela14[[#This Row],[REGIÃO04-3%]]*0.06)+Tabela14[[#This Row],[REGIÃO04-3%]]</f>
        <v>6.4494640000000008</v>
      </c>
    </row>
    <row r="267" spans="1:17" x14ac:dyDescent="0.25">
      <c r="A267">
        <v>1623</v>
      </c>
      <c r="B267" t="s">
        <v>62</v>
      </c>
      <c r="C267" t="s">
        <v>47</v>
      </c>
      <c r="D267" t="s">
        <v>43</v>
      </c>
      <c r="E267" s="1" t="s">
        <v>322</v>
      </c>
      <c r="F267" t="e">
        <f>VLOOKUP(Tabela14[[#This Row],[ID_COD]],Tabela2[],6,0)</f>
        <v>#N/A</v>
      </c>
      <c r="G267" t="s">
        <v>82</v>
      </c>
      <c r="H267" s="2">
        <v>6.57</v>
      </c>
      <c r="I267" s="34">
        <f>Tabela14[[#This Row],[PRECO 3%]]+(Tabela14[[#This Row],[PRECO 3%]]*0.06)</f>
        <v>6.9641999999999999</v>
      </c>
      <c r="J267" s="34"/>
      <c r="K267" s="34">
        <f>(Tabela14[[#This Row],[REGIÃO01-3%]]*0.06)+Tabela14[[#This Row],[REGIÃO01-3%]]</f>
        <v>0</v>
      </c>
      <c r="L267" s="34">
        <f>(Tabela14[[#This Row],[PRECO 3%]]*0.05)+Tabela14[[#This Row],[PRECO 3%]]</f>
        <v>6.8985000000000003</v>
      </c>
      <c r="M267" s="34">
        <f>(Tabela14[[#This Row],[REGIÃO02 - 3%]]*0.06)+Tabela14[[#This Row],[REGIÃO02 - 3%]]</f>
        <v>7.3124099999999999</v>
      </c>
      <c r="N267" s="34">
        <f>(Tabela14[[#This Row],[PRECO 3%]]*0.08)+Tabela14[[#This Row],[PRECO 3%]]</f>
        <v>7.0956000000000001</v>
      </c>
      <c r="O267" s="34">
        <f>(Tabela14[[#This Row],[REGIÃO03-3%]]*0.06)+Tabela14[[#This Row],[REGIÃO03-3%]]</f>
        <v>7.5213359999999998</v>
      </c>
      <c r="P267" s="34">
        <f>(Tabela14[[#This Row],[PRECO 3%]]*0.06)+Tabela14[[#This Row],[PRECO 3%]]</f>
        <v>6.9641999999999999</v>
      </c>
      <c r="Q267" s="34">
        <f>(Tabela14[[#This Row],[REGIÃO04-3%]]*0.06)+Tabela14[[#This Row],[REGIÃO04-3%]]</f>
        <v>7.3820519999999998</v>
      </c>
    </row>
    <row r="268" spans="1:17" x14ac:dyDescent="0.25">
      <c r="A268">
        <v>1624</v>
      </c>
      <c r="B268" t="s">
        <v>62</v>
      </c>
      <c r="C268" t="s">
        <v>48</v>
      </c>
      <c r="D268" t="s">
        <v>43</v>
      </c>
      <c r="E268" s="1" t="s">
        <v>322</v>
      </c>
      <c r="F268" t="e">
        <f>VLOOKUP(Tabela14[[#This Row],[ID_COD]],Tabela2[],6,0)</f>
        <v>#N/A</v>
      </c>
      <c r="G268" t="s">
        <v>90</v>
      </c>
      <c r="H268" s="2">
        <v>8.4499999999999993</v>
      </c>
      <c r="I268" s="34">
        <f>Tabela14[[#This Row],[PRECO 3%]]+(Tabela14[[#This Row],[PRECO 3%]]*0.06)</f>
        <v>8.956999999999999</v>
      </c>
      <c r="J268" s="34"/>
      <c r="K268" s="34">
        <f>(Tabela14[[#This Row],[REGIÃO01-3%]]*0.06)+Tabela14[[#This Row],[REGIÃO01-3%]]</f>
        <v>0</v>
      </c>
      <c r="L268" s="34">
        <f>(Tabela14[[#This Row],[PRECO 3%]]*0.05)+Tabela14[[#This Row],[PRECO 3%]]</f>
        <v>8.8724999999999987</v>
      </c>
      <c r="M268" s="34">
        <f>(Tabela14[[#This Row],[REGIÃO02 - 3%]]*0.06)+Tabela14[[#This Row],[REGIÃO02 - 3%]]</f>
        <v>9.4048499999999979</v>
      </c>
      <c r="N268" s="34">
        <f>(Tabela14[[#This Row],[PRECO 3%]]*0.08)+Tabela14[[#This Row],[PRECO 3%]]</f>
        <v>9.1259999999999994</v>
      </c>
      <c r="O268" s="34">
        <f>(Tabela14[[#This Row],[REGIÃO03-3%]]*0.06)+Tabela14[[#This Row],[REGIÃO03-3%]]</f>
        <v>9.6735600000000002</v>
      </c>
      <c r="P268" s="34">
        <f>(Tabela14[[#This Row],[PRECO 3%]]*0.06)+Tabela14[[#This Row],[PRECO 3%]]</f>
        <v>8.956999999999999</v>
      </c>
      <c r="Q268" s="34">
        <f>(Tabela14[[#This Row],[REGIÃO04-3%]]*0.06)+Tabela14[[#This Row],[REGIÃO04-3%]]</f>
        <v>9.4944199999999981</v>
      </c>
    </row>
    <row r="269" spans="1:17" x14ac:dyDescent="0.25">
      <c r="A269">
        <v>1625</v>
      </c>
      <c r="B269" t="s">
        <v>62</v>
      </c>
      <c r="C269" t="s">
        <v>50</v>
      </c>
      <c r="D269" t="s">
        <v>43</v>
      </c>
      <c r="E269" s="1" t="s">
        <v>322</v>
      </c>
      <c r="F269" t="e">
        <f>VLOOKUP(Tabela14[[#This Row],[ID_COD]],Tabela2[],6,0)</f>
        <v>#N/A</v>
      </c>
      <c r="G269" t="s">
        <v>100</v>
      </c>
      <c r="H269" s="2">
        <v>12.58</v>
      </c>
      <c r="I269" s="34">
        <f>Tabela14[[#This Row],[PRECO 3%]]+(Tabela14[[#This Row],[PRECO 3%]]*0.06)</f>
        <v>13.3348</v>
      </c>
      <c r="J269" s="34"/>
      <c r="K269" s="34">
        <f>(Tabela14[[#This Row],[REGIÃO01-3%]]*0.06)+Tabela14[[#This Row],[REGIÃO01-3%]]</f>
        <v>0</v>
      </c>
      <c r="L269" s="34">
        <f>(Tabela14[[#This Row],[PRECO 3%]]*0.05)+Tabela14[[#This Row],[PRECO 3%]]</f>
        <v>13.209</v>
      </c>
      <c r="M269" s="34">
        <f>(Tabela14[[#This Row],[REGIÃO02 - 3%]]*0.06)+Tabela14[[#This Row],[REGIÃO02 - 3%]]</f>
        <v>14.00154</v>
      </c>
      <c r="N269" s="34">
        <f>(Tabela14[[#This Row],[PRECO 3%]]*0.08)+Tabela14[[#This Row],[PRECO 3%]]</f>
        <v>13.586399999999999</v>
      </c>
      <c r="O269" s="34">
        <f>(Tabela14[[#This Row],[REGIÃO03-3%]]*0.06)+Tabela14[[#This Row],[REGIÃO03-3%]]</f>
        <v>14.401584</v>
      </c>
      <c r="P269" s="34">
        <f>(Tabela14[[#This Row],[PRECO 3%]]*0.06)+Tabela14[[#This Row],[PRECO 3%]]</f>
        <v>13.3348</v>
      </c>
      <c r="Q269" s="34">
        <f>(Tabela14[[#This Row],[REGIÃO04-3%]]*0.06)+Tabela14[[#This Row],[REGIÃO04-3%]]</f>
        <v>14.134888</v>
      </c>
    </row>
    <row r="270" spans="1:17" x14ac:dyDescent="0.25">
      <c r="A270">
        <v>1626</v>
      </c>
      <c r="B270" t="s">
        <v>62</v>
      </c>
      <c r="C270" t="s">
        <v>52</v>
      </c>
      <c r="D270" t="s">
        <v>43</v>
      </c>
      <c r="E270" s="1" t="s">
        <v>322</v>
      </c>
      <c r="F270" t="e">
        <f>VLOOKUP(Tabela14[[#This Row],[ID_COD]],Tabela2[],6,0)</f>
        <v>#N/A</v>
      </c>
      <c r="G270" t="s">
        <v>123</v>
      </c>
      <c r="H270" s="2">
        <v>6.41</v>
      </c>
      <c r="I270" s="34">
        <f>Tabela14[[#This Row],[PRECO 3%]]+(Tabela14[[#This Row],[PRECO 3%]]*0.06)</f>
        <v>6.7946</v>
      </c>
      <c r="J270" s="34"/>
      <c r="K270" s="34">
        <f>(Tabela14[[#This Row],[REGIÃO01-3%]]*0.06)+Tabela14[[#This Row],[REGIÃO01-3%]]</f>
        <v>0</v>
      </c>
      <c r="L270" s="34">
        <f>(Tabela14[[#This Row],[PRECO 3%]]*0.05)+Tabela14[[#This Row],[PRECO 3%]]</f>
        <v>6.7305000000000001</v>
      </c>
      <c r="M270" s="34">
        <f>(Tabela14[[#This Row],[REGIÃO02 - 3%]]*0.06)+Tabela14[[#This Row],[REGIÃO02 - 3%]]</f>
        <v>7.1343300000000003</v>
      </c>
      <c r="N270" s="34">
        <f>(Tabela14[[#This Row],[PRECO 3%]]*0.08)+Tabela14[[#This Row],[PRECO 3%]]</f>
        <v>6.9228000000000005</v>
      </c>
      <c r="O270" s="34">
        <f>(Tabela14[[#This Row],[REGIÃO03-3%]]*0.06)+Tabela14[[#This Row],[REGIÃO03-3%]]</f>
        <v>7.3381680000000005</v>
      </c>
      <c r="P270" s="34">
        <f>(Tabela14[[#This Row],[PRECO 3%]]*0.06)+Tabela14[[#This Row],[PRECO 3%]]</f>
        <v>6.7946</v>
      </c>
      <c r="Q270" s="34">
        <f>(Tabela14[[#This Row],[REGIÃO04-3%]]*0.06)+Tabela14[[#This Row],[REGIÃO04-3%]]</f>
        <v>7.2022760000000003</v>
      </c>
    </row>
    <row r="271" spans="1:17" x14ac:dyDescent="0.25">
      <c r="A271">
        <v>1627</v>
      </c>
      <c r="B271" t="s">
        <v>62</v>
      </c>
      <c r="C271" t="s">
        <v>53</v>
      </c>
      <c r="D271" t="s">
        <v>43</v>
      </c>
      <c r="E271" s="1" t="s">
        <v>322</v>
      </c>
      <c r="F271" t="e">
        <f>VLOOKUP(Tabela14[[#This Row],[ID_COD]],Tabela2[],6,0)</f>
        <v>#N/A</v>
      </c>
      <c r="G271" t="s">
        <v>134</v>
      </c>
      <c r="H271" s="2">
        <v>7.92</v>
      </c>
      <c r="I271" s="34">
        <f>Tabela14[[#This Row],[PRECO 3%]]+(Tabela14[[#This Row],[PRECO 3%]]*0.06)</f>
        <v>8.3951999999999991</v>
      </c>
      <c r="J271" s="34"/>
      <c r="K271" s="34">
        <f>(Tabela14[[#This Row],[REGIÃO01-3%]]*0.06)+Tabela14[[#This Row],[REGIÃO01-3%]]</f>
        <v>0</v>
      </c>
      <c r="L271" s="34">
        <f>(Tabela14[[#This Row],[PRECO 3%]]*0.05)+Tabela14[[#This Row],[PRECO 3%]]</f>
        <v>8.3160000000000007</v>
      </c>
      <c r="M271" s="34">
        <f>(Tabela14[[#This Row],[REGIÃO02 - 3%]]*0.06)+Tabela14[[#This Row],[REGIÃO02 - 3%]]</f>
        <v>8.814960000000001</v>
      </c>
      <c r="N271" s="34">
        <f>(Tabela14[[#This Row],[PRECO 3%]]*0.08)+Tabela14[[#This Row],[PRECO 3%]]</f>
        <v>8.5535999999999994</v>
      </c>
      <c r="O271" s="34">
        <f>(Tabela14[[#This Row],[REGIÃO03-3%]]*0.06)+Tabela14[[#This Row],[REGIÃO03-3%]]</f>
        <v>9.0668159999999993</v>
      </c>
      <c r="P271" s="34">
        <f>(Tabela14[[#This Row],[PRECO 3%]]*0.06)+Tabela14[[#This Row],[PRECO 3%]]</f>
        <v>8.3951999999999991</v>
      </c>
      <c r="Q271" s="34">
        <f>(Tabela14[[#This Row],[REGIÃO04-3%]]*0.06)+Tabela14[[#This Row],[REGIÃO04-3%]]</f>
        <v>8.8989119999999993</v>
      </c>
    </row>
    <row r="272" spans="1:17" x14ac:dyDescent="0.25">
      <c r="A272">
        <v>1628</v>
      </c>
      <c r="B272" t="s">
        <v>62</v>
      </c>
      <c r="C272" t="s">
        <v>54</v>
      </c>
      <c r="D272" t="s">
        <v>43</v>
      </c>
      <c r="E272" s="1" t="s">
        <v>322</v>
      </c>
      <c r="F272" t="e">
        <f>VLOOKUP(Tabela14[[#This Row],[ID_COD]],Tabela2[],6,0)</f>
        <v>#N/A</v>
      </c>
      <c r="G272" t="s">
        <v>147</v>
      </c>
      <c r="H272" s="2">
        <v>9.3699999999999992</v>
      </c>
      <c r="I272" s="34">
        <f>Tabela14[[#This Row],[PRECO 3%]]+(Tabela14[[#This Row],[PRECO 3%]]*0.06)</f>
        <v>9.9321999999999999</v>
      </c>
      <c r="J272" s="34"/>
      <c r="K272" s="34">
        <f>(Tabela14[[#This Row],[REGIÃO01-3%]]*0.06)+Tabela14[[#This Row],[REGIÃO01-3%]]</f>
        <v>0</v>
      </c>
      <c r="L272" s="34">
        <f>(Tabela14[[#This Row],[PRECO 3%]]*0.05)+Tabela14[[#This Row],[PRECO 3%]]</f>
        <v>9.8384999999999998</v>
      </c>
      <c r="M272" s="34">
        <f>(Tabela14[[#This Row],[REGIÃO02 - 3%]]*0.06)+Tabela14[[#This Row],[REGIÃO02 - 3%]]</f>
        <v>10.42881</v>
      </c>
      <c r="N272" s="34">
        <f>(Tabela14[[#This Row],[PRECO 3%]]*0.08)+Tabela14[[#This Row],[PRECO 3%]]</f>
        <v>10.119599999999998</v>
      </c>
      <c r="O272" s="34">
        <f>(Tabela14[[#This Row],[REGIÃO03-3%]]*0.06)+Tabela14[[#This Row],[REGIÃO03-3%]]</f>
        <v>10.726775999999997</v>
      </c>
      <c r="P272" s="34">
        <f>(Tabela14[[#This Row],[PRECO 3%]]*0.06)+Tabela14[[#This Row],[PRECO 3%]]</f>
        <v>9.9321999999999999</v>
      </c>
      <c r="Q272" s="34">
        <f>(Tabela14[[#This Row],[REGIÃO04-3%]]*0.06)+Tabela14[[#This Row],[REGIÃO04-3%]]</f>
        <v>10.528131999999999</v>
      </c>
    </row>
    <row r="273" spans="1:17" x14ac:dyDescent="0.25">
      <c r="A273">
        <v>1629</v>
      </c>
      <c r="B273" t="s">
        <v>62</v>
      </c>
      <c r="C273" t="s">
        <v>55</v>
      </c>
      <c r="D273" t="s">
        <v>43</v>
      </c>
      <c r="E273" s="1" t="s">
        <v>322</v>
      </c>
      <c r="F273" t="e">
        <f>VLOOKUP(Tabela14[[#This Row],[ID_COD]],Tabela2[],6,0)</f>
        <v>#N/A</v>
      </c>
      <c r="G273" t="s">
        <v>95</v>
      </c>
      <c r="H273" s="2">
        <v>12.03</v>
      </c>
      <c r="I273" s="34">
        <f>Tabela14[[#This Row],[PRECO 3%]]+(Tabela14[[#This Row],[PRECO 3%]]*0.06)</f>
        <v>12.751799999999999</v>
      </c>
      <c r="J273" s="34"/>
      <c r="K273" s="34">
        <f>(Tabela14[[#This Row],[REGIÃO01-3%]]*0.06)+Tabela14[[#This Row],[REGIÃO01-3%]]</f>
        <v>0</v>
      </c>
      <c r="L273" s="34">
        <f>(Tabela14[[#This Row],[PRECO 3%]]*0.05)+Tabela14[[#This Row],[PRECO 3%]]</f>
        <v>12.631499999999999</v>
      </c>
      <c r="M273" s="34">
        <f>(Tabela14[[#This Row],[REGIÃO02 - 3%]]*0.06)+Tabela14[[#This Row],[REGIÃO02 - 3%]]</f>
        <v>13.389389999999999</v>
      </c>
      <c r="N273" s="34">
        <f>(Tabela14[[#This Row],[PRECO 3%]]*0.08)+Tabela14[[#This Row],[PRECO 3%]]</f>
        <v>12.9924</v>
      </c>
      <c r="O273" s="34">
        <f>(Tabela14[[#This Row],[REGIÃO03-3%]]*0.06)+Tabela14[[#This Row],[REGIÃO03-3%]]</f>
        <v>13.771944</v>
      </c>
      <c r="P273" s="34">
        <f>(Tabela14[[#This Row],[PRECO 3%]]*0.06)+Tabela14[[#This Row],[PRECO 3%]]</f>
        <v>12.751799999999999</v>
      </c>
      <c r="Q273" s="34">
        <f>(Tabela14[[#This Row],[REGIÃO04-3%]]*0.06)+Tabela14[[#This Row],[REGIÃO04-3%]]</f>
        <v>13.516907999999999</v>
      </c>
    </row>
    <row r="274" spans="1:17" x14ac:dyDescent="0.25">
      <c r="A274">
        <v>1630</v>
      </c>
      <c r="B274" t="s">
        <v>62</v>
      </c>
      <c r="C274" t="s">
        <v>57</v>
      </c>
      <c r="D274" t="s">
        <v>43</v>
      </c>
      <c r="E274" s="1" t="s">
        <v>322</v>
      </c>
      <c r="F274" t="e">
        <f>VLOOKUP(Tabela14[[#This Row],[ID_COD]],Tabela2[],6,0)</f>
        <v>#N/A</v>
      </c>
      <c r="G274" t="s">
        <v>169</v>
      </c>
      <c r="H274" s="2">
        <v>17.34</v>
      </c>
      <c r="I274" s="34">
        <f>Tabela14[[#This Row],[PRECO 3%]]+(Tabela14[[#This Row],[PRECO 3%]]*0.06)</f>
        <v>18.380400000000002</v>
      </c>
      <c r="J274" s="34"/>
      <c r="K274" s="34">
        <f>(Tabela14[[#This Row],[REGIÃO01-3%]]*0.06)+Tabela14[[#This Row],[REGIÃO01-3%]]</f>
        <v>0</v>
      </c>
      <c r="L274" s="34">
        <f>(Tabela14[[#This Row],[PRECO 3%]]*0.05)+Tabela14[[#This Row],[PRECO 3%]]</f>
        <v>18.207000000000001</v>
      </c>
      <c r="M274" s="34">
        <f>(Tabela14[[#This Row],[REGIÃO02 - 3%]]*0.06)+Tabela14[[#This Row],[REGIÃO02 - 3%]]</f>
        <v>19.299420000000001</v>
      </c>
      <c r="N274" s="34">
        <f>(Tabela14[[#This Row],[PRECO 3%]]*0.08)+Tabela14[[#This Row],[PRECO 3%]]</f>
        <v>18.7272</v>
      </c>
      <c r="O274" s="34">
        <f>(Tabela14[[#This Row],[REGIÃO03-3%]]*0.06)+Tabela14[[#This Row],[REGIÃO03-3%]]</f>
        <v>19.850832</v>
      </c>
      <c r="P274" s="34">
        <f>(Tabela14[[#This Row],[PRECO 3%]]*0.06)+Tabela14[[#This Row],[PRECO 3%]]</f>
        <v>18.380400000000002</v>
      </c>
      <c r="Q274" s="34">
        <f>(Tabela14[[#This Row],[REGIÃO04-3%]]*0.06)+Tabela14[[#This Row],[REGIÃO04-3%]]</f>
        <v>19.483224</v>
      </c>
    </row>
    <row r="275" spans="1:17" x14ac:dyDescent="0.25">
      <c r="A275">
        <v>1636</v>
      </c>
      <c r="B275" t="s">
        <v>25</v>
      </c>
      <c r="C275" t="s">
        <v>26</v>
      </c>
      <c r="D275" t="s">
        <v>8</v>
      </c>
      <c r="E275" s="1" t="s">
        <v>325</v>
      </c>
      <c r="F275">
        <f>VLOOKUP(Tabela14[[#This Row],[ID_COD]],Tabela2[],6,0)</f>
        <v>36</v>
      </c>
      <c r="G275" t="s">
        <v>227</v>
      </c>
      <c r="H275" s="2">
        <v>16.068292682926828</v>
      </c>
      <c r="I275" s="34">
        <f>Tabela14[[#This Row],[PRECO 3%]]+(Tabela14[[#This Row],[PRECO 3%]]*0.06)</f>
        <v>17.032390243902437</v>
      </c>
      <c r="J275" s="34"/>
      <c r="K275" s="34">
        <f>(Tabela14[[#This Row],[REGIÃO01-3%]]*0.06)+Tabela14[[#This Row],[REGIÃO01-3%]]</f>
        <v>0</v>
      </c>
      <c r="L275" s="34">
        <f>(Tabela14[[#This Row],[PRECO 3%]]*0.05)+Tabela14[[#This Row],[PRECO 3%]]</f>
        <v>16.87170731707317</v>
      </c>
      <c r="M275" s="34">
        <f>(Tabela14[[#This Row],[REGIÃO02 - 3%]]*0.06)+Tabela14[[#This Row],[REGIÃO02 - 3%]]</f>
        <v>17.884009756097562</v>
      </c>
      <c r="N275" s="34">
        <f>(Tabela14[[#This Row],[PRECO 3%]]*0.08)+Tabela14[[#This Row],[PRECO 3%]]</f>
        <v>17.353756097560975</v>
      </c>
      <c r="O275" s="34">
        <f>(Tabela14[[#This Row],[REGIÃO03-3%]]*0.06)+Tabela14[[#This Row],[REGIÃO03-3%]]</f>
        <v>18.394981463414634</v>
      </c>
      <c r="P275" s="34">
        <f>(Tabela14[[#This Row],[PRECO 3%]]*0.06)+Tabela14[[#This Row],[PRECO 3%]]</f>
        <v>17.032390243902437</v>
      </c>
      <c r="Q275" s="34">
        <f>(Tabela14[[#This Row],[REGIÃO04-3%]]*0.06)+Tabela14[[#This Row],[REGIÃO04-3%]]</f>
        <v>18.054333658536585</v>
      </c>
    </row>
    <row r="276" spans="1:17" x14ac:dyDescent="0.25">
      <c r="A276">
        <v>1637</v>
      </c>
      <c r="B276" t="s">
        <v>25</v>
      </c>
      <c r="C276" t="s">
        <v>26</v>
      </c>
      <c r="D276" t="s">
        <v>8</v>
      </c>
      <c r="E276" s="1" t="s">
        <v>328</v>
      </c>
      <c r="F276" t="e">
        <f>VLOOKUP(Tabela14[[#This Row],[ID_COD]],Tabela2[],6,0)</f>
        <v>#N/A</v>
      </c>
      <c r="G276" t="s">
        <v>227</v>
      </c>
      <c r="H276" s="2">
        <v>18.478536585365852</v>
      </c>
      <c r="I276" s="34">
        <f>Tabela14[[#This Row],[PRECO 3%]]+(Tabela14[[#This Row],[PRECO 3%]]*0.06)</f>
        <v>19.587248780487801</v>
      </c>
      <c r="J276" s="34"/>
      <c r="K276" s="34">
        <f>(Tabela14[[#This Row],[REGIÃO01-3%]]*0.06)+Tabela14[[#This Row],[REGIÃO01-3%]]</f>
        <v>0</v>
      </c>
      <c r="L276" s="34">
        <f>(Tabela14[[#This Row],[PRECO 3%]]*0.05)+Tabela14[[#This Row],[PRECO 3%]]</f>
        <v>19.402463414634145</v>
      </c>
      <c r="M276" s="34">
        <f>(Tabela14[[#This Row],[REGIÃO02 - 3%]]*0.06)+Tabela14[[#This Row],[REGIÃO02 - 3%]]</f>
        <v>20.566611219512193</v>
      </c>
      <c r="N276" s="34">
        <f>(Tabela14[[#This Row],[PRECO 3%]]*0.08)+Tabela14[[#This Row],[PRECO 3%]]</f>
        <v>19.956819512195121</v>
      </c>
      <c r="O276" s="34">
        <f>(Tabela14[[#This Row],[REGIÃO03-3%]]*0.06)+Tabela14[[#This Row],[REGIÃO03-3%]]</f>
        <v>21.154228682926828</v>
      </c>
      <c r="P276" s="34">
        <f>(Tabela14[[#This Row],[PRECO 3%]]*0.06)+Tabela14[[#This Row],[PRECO 3%]]</f>
        <v>19.587248780487801</v>
      </c>
      <c r="Q276" s="34">
        <f>(Tabela14[[#This Row],[REGIÃO04-3%]]*0.06)+Tabela14[[#This Row],[REGIÃO04-3%]]</f>
        <v>20.76248370731707</v>
      </c>
    </row>
    <row r="277" spans="1:17" x14ac:dyDescent="0.25">
      <c r="A277">
        <v>1639</v>
      </c>
      <c r="B277" t="s">
        <v>10</v>
      </c>
      <c r="C277" t="s">
        <v>11</v>
      </c>
      <c r="D277" t="s">
        <v>9</v>
      </c>
      <c r="E277" s="1" t="s">
        <v>322</v>
      </c>
      <c r="F277">
        <v>300</v>
      </c>
      <c r="G277" t="s">
        <v>174</v>
      </c>
      <c r="H277" s="2">
        <f>VLOOKUP(A277,'Tabela de preços'!A16:H103,8,FALSE)</f>
        <v>4.4084000000000003</v>
      </c>
      <c r="I277" s="34">
        <f>Tabela14[[#This Row],[PRECO 3%]]+(Tabela14[[#This Row],[PRECO 3%]]*0.06)</f>
        <v>4.6729039999999999</v>
      </c>
      <c r="J277" s="34"/>
      <c r="K277" s="34">
        <f>(Tabela14[[#This Row],[REGIÃO01-3%]]*0.06)+Tabela14[[#This Row],[REGIÃO01-3%]]</f>
        <v>0</v>
      </c>
      <c r="L277" s="34">
        <f>(Tabela14[[#This Row],[PRECO 3%]]*0.05)+Tabela14[[#This Row],[PRECO 3%]]</f>
        <v>4.6288200000000002</v>
      </c>
      <c r="M277" s="34">
        <f>(Tabela14[[#This Row],[REGIÃO02 - 3%]]*0.06)+Tabela14[[#This Row],[REGIÃO02 - 3%]]</f>
        <v>4.9065492000000006</v>
      </c>
      <c r="N277" s="34">
        <f>(Tabela14[[#This Row],[PRECO 3%]]*0.08)+Tabela14[[#This Row],[PRECO 3%]]</f>
        <v>4.7610720000000004</v>
      </c>
      <c r="O277" s="34">
        <f>(Tabela14[[#This Row],[REGIÃO03-3%]]*0.06)+Tabela14[[#This Row],[REGIÃO03-3%]]</f>
        <v>5.0467363200000008</v>
      </c>
      <c r="P277" s="34">
        <f>(Tabela14[[#This Row],[PRECO 3%]]*0.06)+Tabela14[[#This Row],[PRECO 3%]]</f>
        <v>4.6729039999999999</v>
      </c>
      <c r="Q277" s="34">
        <f>(Tabela14[[#This Row],[REGIÃO04-3%]]*0.06)+Tabela14[[#This Row],[REGIÃO04-3%]]</f>
        <v>4.9532782399999995</v>
      </c>
    </row>
    <row r="278" spans="1:17" x14ac:dyDescent="0.25">
      <c r="A278">
        <v>1640</v>
      </c>
      <c r="B278" t="s">
        <v>10</v>
      </c>
      <c r="C278" t="s">
        <v>12</v>
      </c>
      <c r="D278" t="s">
        <v>9</v>
      </c>
      <c r="E278" s="1" t="s">
        <v>322</v>
      </c>
      <c r="F278">
        <f>VLOOKUP(Tabela14[[#This Row],[ID_COD]],Tabela2[],6,0)</f>
        <v>150</v>
      </c>
      <c r="G278" t="s">
        <v>176</v>
      </c>
      <c r="H278" s="2">
        <v>7.96</v>
      </c>
      <c r="I278" s="34">
        <f>Tabela14[[#This Row],[PRECO 3%]]+(Tabela14[[#This Row],[PRECO 3%]]*0.06)</f>
        <v>8.4375999999999998</v>
      </c>
      <c r="J278" s="34"/>
      <c r="K278" s="34">
        <f>(Tabela14[[#This Row],[REGIÃO01-3%]]*0.06)+Tabela14[[#This Row],[REGIÃO01-3%]]</f>
        <v>0</v>
      </c>
      <c r="L278" s="34">
        <f>(Tabela14[[#This Row],[PRECO 3%]]*0.05)+Tabela14[[#This Row],[PRECO 3%]]</f>
        <v>8.3580000000000005</v>
      </c>
      <c r="M278" s="34">
        <f>(Tabela14[[#This Row],[REGIÃO02 - 3%]]*0.06)+Tabela14[[#This Row],[REGIÃO02 - 3%]]</f>
        <v>8.8594800000000014</v>
      </c>
      <c r="N278" s="34">
        <f>(Tabela14[[#This Row],[PRECO 3%]]*0.08)+Tabela14[[#This Row],[PRECO 3%]]</f>
        <v>8.5968</v>
      </c>
      <c r="O278" s="34">
        <f>(Tabela14[[#This Row],[REGIÃO03-3%]]*0.06)+Tabela14[[#This Row],[REGIÃO03-3%]]</f>
        <v>9.1126079999999998</v>
      </c>
      <c r="P278" s="34">
        <f>(Tabela14[[#This Row],[PRECO 3%]]*0.06)+Tabela14[[#This Row],[PRECO 3%]]</f>
        <v>8.4375999999999998</v>
      </c>
      <c r="Q278" s="34">
        <f>(Tabela14[[#This Row],[REGIÃO04-3%]]*0.06)+Tabela14[[#This Row],[REGIÃO04-3%]]</f>
        <v>8.9438560000000003</v>
      </c>
    </row>
    <row r="279" spans="1:17" x14ac:dyDescent="0.25">
      <c r="A279">
        <v>1641</v>
      </c>
      <c r="B279" t="s">
        <v>3</v>
      </c>
      <c r="C279" t="s">
        <v>5</v>
      </c>
      <c r="D279" t="s">
        <v>9</v>
      </c>
      <c r="E279" s="1" t="s">
        <v>322</v>
      </c>
      <c r="F279">
        <v>900</v>
      </c>
      <c r="G279" t="s">
        <v>253</v>
      </c>
      <c r="H279" s="2">
        <f>VLOOKUP(A279,'Tabela de preços'!A7:H94,8,FALSE)</f>
        <v>0.64800000000000002</v>
      </c>
      <c r="I279" s="34">
        <f>Tabela14[[#This Row],[PRECO 3%]]+(Tabela14[[#This Row],[PRECO 3%]]*0.06)</f>
        <v>0.68688000000000005</v>
      </c>
      <c r="J279" s="34"/>
      <c r="K279" s="34">
        <f>(Tabela14[[#This Row],[REGIÃO01-3%]]*0.06)+Tabela14[[#This Row],[REGIÃO01-3%]]</f>
        <v>0</v>
      </c>
      <c r="L279" s="34">
        <f>(Tabela14[[#This Row],[PRECO 3%]]*0.05)+Tabela14[[#This Row],[PRECO 3%]]</f>
        <v>0.6804</v>
      </c>
      <c r="M279" s="34">
        <f>(Tabela14[[#This Row],[REGIÃO02 - 3%]]*0.06)+Tabela14[[#This Row],[REGIÃO02 - 3%]]</f>
        <v>0.72122399999999998</v>
      </c>
      <c r="N279" s="34">
        <f>(Tabela14[[#This Row],[PRECO 3%]]*0.08)+Tabela14[[#This Row],[PRECO 3%]]</f>
        <v>0.69984000000000002</v>
      </c>
      <c r="O279" s="34">
        <f>(Tabela14[[#This Row],[REGIÃO03-3%]]*0.06)+Tabela14[[#This Row],[REGIÃO03-3%]]</f>
        <v>0.7418304</v>
      </c>
      <c r="P279" s="34">
        <f>(Tabela14[[#This Row],[PRECO 3%]]*0.06)+Tabela14[[#This Row],[PRECO 3%]]</f>
        <v>0.68688000000000005</v>
      </c>
      <c r="Q279" s="34">
        <f>(Tabela14[[#This Row],[REGIÃO04-3%]]*0.06)+Tabela14[[#This Row],[REGIÃO04-3%]]</f>
        <v>0.7280928000000001</v>
      </c>
    </row>
    <row r="280" spans="1:17" x14ac:dyDescent="0.25">
      <c r="A280">
        <v>1642</v>
      </c>
      <c r="B280" t="s">
        <v>3</v>
      </c>
      <c r="C280" t="s">
        <v>6</v>
      </c>
      <c r="D280" t="s">
        <v>9</v>
      </c>
      <c r="E280" s="1" t="s">
        <v>322</v>
      </c>
      <c r="F280">
        <v>900</v>
      </c>
      <c r="G280" t="s">
        <v>257</v>
      </c>
      <c r="H280" s="2">
        <f>VLOOKUP(A280,'Tabela de preços'!A8:H95,8,FALSE)</f>
        <v>0.66959999999999997</v>
      </c>
      <c r="I280" s="34">
        <f>Tabela14[[#This Row],[PRECO 3%]]+(Tabela14[[#This Row],[PRECO 3%]]*0.06)</f>
        <v>0.70977599999999996</v>
      </c>
      <c r="J280" s="34"/>
      <c r="K280" s="34">
        <f>(Tabela14[[#This Row],[REGIÃO01-3%]]*0.06)+Tabela14[[#This Row],[REGIÃO01-3%]]</f>
        <v>0</v>
      </c>
      <c r="L280" s="34">
        <f>(Tabela14[[#This Row],[PRECO 3%]]*0.05)+Tabela14[[#This Row],[PRECO 3%]]</f>
        <v>0.70307999999999993</v>
      </c>
      <c r="M280" s="34">
        <f>(Tabela14[[#This Row],[REGIÃO02 - 3%]]*0.06)+Tabela14[[#This Row],[REGIÃO02 - 3%]]</f>
        <v>0.74526479999999995</v>
      </c>
      <c r="N280" s="34">
        <f>(Tabela14[[#This Row],[PRECO 3%]]*0.08)+Tabela14[[#This Row],[PRECO 3%]]</f>
        <v>0.72316799999999992</v>
      </c>
      <c r="O280" s="34">
        <f>(Tabela14[[#This Row],[REGIÃO03-3%]]*0.06)+Tabela14[[#This Row],[REGIÃO03-3%]]</f>
        <v>0.76655807999999992</v>
      </c>
      <c r="P280" s="34">
        <f>(Tabela14[[#This Row],[PRECO 3%]]*0.06)+Tabela14[[#This Row],[PRECO 3%]]</f>
        <v>0.70977599999999996</v>
      </c>
      <c r="Q280" s="34">
        <f>(Tabela14[[#This Row],[REGIÃO04-3%]]*0.06)+Tabela14[[#This Row],[REGIÃO04-3%]]</f>
        <v>0.7523625599999999</v>
      </c>
    </row>
    <row r="281" spans="1:17" x14ac:dyDescent="0.25">
      <c r="A281">
        <v>1643</v>
      </c>
      <c r="B281" t="s">
        <v>3</v>
      </c>
      <c r="C281" t="s">
        <v>7</v>
      </c>
      <c r="D281" t="s">
        <v>9</v>
      </c>
      <c r="E281" s="1" t="s">
        <v>322</v>
      </c>
      <c r="F281">
        <f>VLOOKUP(Tabela14[[#This Row],[ID_COD]],Tabela2[],6,0)</f>
        <v>900</v>
      </c>
      <c r="G281" t="s">
        <v>107</v>
      </c>
      <c r="H281" s="2">
        <f>VLOOKUP(A281,'Tabela de preços'!A9:H96,8,FALSE)</f>
        <v>0.70200000000000007</v>
      </c>
      <c r="I281" s="34">
        <f>Tabela14[[#This Row],[PRECO 3%]]+(Tabela14[[#This Row],[PRECO 3%]]*0.06)</f>
        <v>0.74412000000000011</v>
      </c>
      <c r="J281" s="34"/>
      <c r="K281" s="34">
        <f>(Tabela14[[#This Row],[REGIÃO01-3%]]*0.06)+Tabela14[[#This Row],[REGIÃO01-3%]]</f>
        <v>0</v>
      </c>
      <c r="L281" s="34">
        <f>(Tabela14[[#This Row],[PRECO 3%]]*0.05)+Tabela14[[#This Row],[PRECO 3%]]</f>
        <v>0.73710000000000009</v>
      </c>
      <c r="M281" s="34">
        <f>(Tabela14[[#This Row],[REGIÃO02 - 3%]]*0.06)+Tabela14[[#This Row],[REGIÃO02 - 3%]]</f>
        <v>0.78132600000000008</v>
      </c>
      <c r="N281" s="34">
        <f>(Tabela14[[#This Row],[PRECO 3%]]*0.08)+Tabela14[[#This Row],[PRECO 3%]]</f>
        <v>0.75816000000000006</v>
      </c>
      <c r="O281" s="34">
        <f>(Tabela14[[#This Row],[REGIÃO03-3%]]*0.06)+Tabela14[[#This Row],[REGIÃO03-3%]]</f>
        <v>0.80364960000000008</v>
      </c>
      <c r="P281" s="34">
        <f>(Tabela14[[#This Row],[PRECO 3%]]*0.06)+Tabela14[[#This Row],[PRECO 3%]]</f>
        <v>0.74412000000000011</v>
      </c>
      <c r="Q281" s="34">
        <f>(Tabela14[[#This Row],[REGIÃO04-3%]]*0.06)+Tabela14[[#This Row],[REGIÃO04-3%]]</f>
        <v>0.78876720000000011</v>
      </c>
    </row>
    <row r="282" spans="1:17" x14ac:dyDescent="0.25">
      <c r="A282">
        <v>1644</v>
      </c>
      <c r="B282" t="s">
        <v>27</v>
      </c>
      <c r="C282" t="s">
        <v>29</v>
      </c>
      <c r="D282" t="s">
        <v>28</v>
      </c>
      <c r="E282" s="1" t="s">
        <v>322</v>
      </c>
      <c r="F282" t="e">
        <f>VLOOKUP(Tabela14[[#This Row],[ID_COD]],Tabela2[],6,0)</f>
        <v>#N/A</v>
      </c>
      <c r="G282" t="s">
        <v>171</v>
      </c>
      <c r="H282" s="2">
        <v>3.95</v>
      </c>
      <c r="I282" s="34">
        <f>Tabela14[[#This Row],[PRECO 3%]]+(Tabela14[[#This Row],[PRECO 3%]]*0.06)</f>
        <v>4.1870000000000003</v>
      </c>
      <c r="J282" s="34"/>
      <c r="K282" s="34">
        <f>(Tabela14[[#This Row],[REGIÃO01-3%]]*0.06)+Tabela14[[#This Row],[REGIÃO01-3%]]</f>
        <v>0</v>
      </c>
      <c r="L282" s="34">
        <f>(Tabela14[[#This Row],[PRECO 3%]]*0.05)+Tabela14[[#This Row],[PRECO 3%]]</f>
        <v>4.1475</v>
      </c>
      <c r="M282" s="34">
        <f>(Tabela14[[#This Row],[REGIÃO02 - 3%]]*0.06)+Tabela14[[#This Row],[REGIÃO02 - 3%]]</f>
        <v>4.39635</v>
      </c>
      <c r="N282" s="34">
        <f>(Tabela14[[#This Row],[PRECO 3%]]*0.08)+Tabela14[[#This Row],[PRECO 3%]]</f>
        <v>4.266</v>
      </c>
      <c r="O282" s="34">
        <f>(Tabela14[[#This Row],[REGIÃO03-3%]]*0.06)+Tabela14[[#This Row],[REGIÃO03-3%]]</f>
        <v>4.52196</v>
      </c>
      <c r="P282" s="34">
        <f>(Tabela14[[#This Row],[PRECO 3%]]*0.06)+Tabela14[[#This Row],[PRECO 3%]]</f>
        <v>4.1870000000000003</v>
      </c>
      <c r="Q282" s="34">
        <f>(Tabela14[[#This Row],[REGIÃO04-3%]]*0.06)+Tabela14[[#This Row],[REGIÃO04-3%]]</f>
        <v>4.4382200000000003</v>
      </c>
    </row>
    <row r="283" spans="1:17" x14ac:dyDescent="0.25">
      <c r="A283" s="6">
        <v>1644</v>
      </c>
      <c r="B283" s="6" t="s">
        <v>370</v>
      </c>
      <c r="C283" s="6" t="s">
        <v>371</v>
      </c>
      <c r="D283" s="6" t="s">
        <v>372</v>
      </c>
      <c r="E283" s="1" t="s">
        <v>373</v>
      </c>
      <c r="F283" t="s">
        <v>4</v>
      </c>
      <c r="H283" s="32">
        <v>3.9528000000000003</v>
      </c>
      <c r="I283" s="34">
        <f>Tabela14[[#This Row],[PRECO 3%]]+(Tabela14[[#This Row],[PRECO 3%]]*0.06)</f>
        <v>4.1899680000000004</v>
      </c>
      <c r="J283" s="34"/>
      <c r="K283" s="34">
        <f>(Tabela14[[#This Row],[REGIÃO01-3%]]*0.06)+Tabela14[[#This Row],[REGIÃO01-3%]]</f>
        <v>0</v>
      </c>
      <c r="L283" s="34">
        <f>(Tabela14[[#This Row],[PRECO 3%]]*0.05)+Tabela14[[#This Row],[PRECO 3%]]</f>
        <v>4.1504400000000006</v>
      </c>
      <c r="M283" s="34">
        <f>(Tabela14[[#This Row],[REGIÃO02 - 3%]]*0.06)+Tabela14[[#This Row],[REGIÃO02 - 3%]]</f>
        <v>4.3994664000000006</v>
      </c>
      <c r="N283" s="34">
        <f>(Tabela14[[#This Row],[PRECO 3%]]*0.08)+Tabela14[[#This Row],[PRECO 3%]]</f>
        <v>4.2690239999999999</v>
      </c>
      <c r="O283" s="34">
        <f>(Tabela14[[#This Row],[REGIÃO03-3%]]*0.06)+Tabela14[[#This Row],[REGIÃO03-3%]]</f>
        <v>4.5251654400000003</v>
      </c>
      <c r="P283" s="34">
        <f>(Tabela14[[#This Row],[PRECO 3%]]*0.06)+Tabela14[[#This Row],[PRECO 3%]]</f>
        <v>4.1899680000000004</v>
      </c>
      <c r="Q283" s="34">
        <f>(Tabela14[[#This Row],[REGIÃO04-3%]]*0.06)+Tabela14[[#This Row],[REGIÃO04-3%]]</f>
        <v>4.4413660800000008</v>
      </c>
    </row>
    <row r="284" spans="1:17" x14ac:dyDescent="0.25">
      <c r="A284">
        <v>1646</v>
      </c>
      <c r="B284" t="s">
        <v>27</v>
      </c>
      <c r="C284" t="s">
        <v>30</v>
      </c>
      <c r="D284" t="s">
        <v>60</v>
      </c>
      <c r="E284" s="1" t="s">
        <v>322</v>
      </c>
      <c r="F284" t="e">
        <f>VLOOKUP(Tabela14[[#This Row],[ID_COD]],Tabela2[],6,0)</f>
        <v>#N/A</v>
      </c>
      <c r="G284" t="s">
        <v>110</v>
      </c>
      <c r="H284" s="2">
        <v>3.97</v>
      </c>
      <c r="I284" s="34">
        <f>Tabela14[[#This Row],[PRECO 3%]]+(Tabela14[[#This Row],[PRECO 3%]]*0.06)</f>
        <v>4.2082000000000006</v>
      </c>
      <c r="J284" s="34"/>
      <c r="K284" s="34">
        <f>(Tabela14[[#This Row],[REGIÃO01-3%]]*0.06)+Tabela14[[#This Row],[REGIÃO01-3%]]</f>
        <v>0</v>
      </c>
      <c r="L284" s="34">
        <f>(Tabela14[[#This Row],[PRECO 3%]]*0.05)+Tabela14[[#This Row],[PRECO 3%]]</f>
        <v>4.1684999999999999</v>
      </c>
      <c r="M284" s="34">
        <f>(Tabela14[[#This Row],[REGIÃO02 - 3%]]*0.06)+Tabela14[[#This Row],[REGIÃO02 - 3%]]</f>
        <v>4.4186100000000001</v>
      </c>
      <c r="N284" s="34">
        <f>(Tabela14[[#This Row],[PRECO 3%]]*0.08)+Tabela14[[#This Row],[PRECO 3%]]</f>
        <v>4.2876000000000003</v>
      </c>
      <c r="O284" s="34">
        <f>(Tabela14[[#This Row],[REGIÃO03-3%]]*0.06)+Tabela14[[#This Row],[REGIÃO03-3%]]</f>
        <v>4.5448560000000002</v>
      </c>
      <c r="P284" s="34">
        <f>(Tabela14[[#This Row],[PRECO 3%]]*0.06)+Tabela14[[#This Row],[PRECO 3%]]</f>
        <v>4.2082000000000006</v>
      </c>
      <c r="Q284" s="34">
        <f>(Tabela14[[#This Row],[REGIÃO04-3%]]*0.06)+Tabela14[[#This Row],[REGIÃO04-3%]]</f>
        <v>4.4606920000000008</v>
      </c>
    </row>
    <row r="285" spans="1:17" x14ac:dyDescent="0.25">
      <c r="A285">
        <v>1647</v>
      </c>
      <c r="B285" t="s">
        <v>27</v>
      </c>
      <c r="C285" t="s">
        <v>31</v>
      </c>
      <c r="D285" t="s">
        <v>60</v>
      </c>
      <c r="E285" s="1" t="s">
        <v>322</v>
      </c>
      <c r="F285" t="e">
        <f>VLOOKUP(Tabela14[[#This Row],[ID_COD]],Tabela2[],6,0)</f>
        <v>#N/A</v>
      </c>
      <c r="G285" t="s">
        <v>73</v>
      </c>
      <c r="H285" s="2">
        <v>4.91</v>
      </c>
      <c r="I285" s="34">
        <f>Tabela14[[#This Row],[PRECO 3%]]+(Tabela14[[#This Row],[PRECO 3%]]*0.06)</f>
        <v>5.2046000000000001</v>
      </c>
      <c r="J285" s="34"/>
      <c r="K285" s="34">
        <f>(Tabela14[[#This Row],[REGIÃO01-3%]]*0.06)+Tabela14[[#This Row],[REGIÃO01-3%]]</f>
        <v>0</v>
      </c>
      <c r="L285" s="34">
        <f>(Tabela14[[#This Row],[PRECO 3%]]*0.05)+Tabela14[[#This Row],[PRECO 3%]]</f>
        <v>5.1555</v>
      </c>
      <c r="M285" s="34">
        <f>(Tabela14[[#This Row],[REGIÃO02 - 3%]]*0.06)+Tabela14[[#This Row],[REGIÃO02 - 3%]]</f>
        <v>5.4648300000000001</v>
      </c>
      <c r="N285" s="34">
        <f>(Tabela14[[#This Row],[PRECO 3%]]*0.08)+Tabela14[[#This Row],[PRECO 3%]]</f>
        <v>5.3028000000000004</v>
      </c>
      <c r="O285" s="34">
        <f>(Tabela14[[#This Row],[REGIÃO03-3%]]*0.06)+Tabela14[[#This Row],[REGIÃO03-3%]]</f>
        <v>5.6209680000000004</v>
      </c>
      <c r="P285" s="34">
        <f>(Tabela14[[#This Row],[PRECO 3%]]*0.06)+Tabela14[[#This Row],[PRECO 3%]]</f>
        <v>5.2046000000000001</v>
      </c>
      <c r="Q285" s="34">
        <f>(Tabela14[[#This Row],[REGIÃO04-3%]]*0.06)+Tabela14[[#This Row],[REGIÃO04-3%]]</f>
        <v>5.5168759999999999</v>
      </c>
    </row>
    <row r="286" spans="1:17" x14ac:dyDescent="0.25">
      <c r="A286">
        <v>1648</v>
      </c>
      <c r="B286" t="s">
        <v>27</v>
      </c>
      <c r="C286" t="s">
        <v>32</v>
      </c>
      <c r="D286" t="s">
        <v>60</v>
      </c>
      <c r="E286" s="1" t="s">
        <v>322</v>
      </c>
      <c r="F286" t="e">
        <f>VLOOKUP(Tabela14[[#This Row],[ID_COD]],Tabela2[],6,0)</f>
        <v>#N/A</v>
      </c>
      <c r="G286" t="s">
        <v>80</v>
      </c>
      <c r="H286" s="2">
        <v>5.63</v>
      </c>
      <c r="I286" s="34">
        <f>Tabela14[[#This Row],[PRECO 3%]]+(Tabela14[[#This Row],[PRECO 3%]]*0.06)</f>
        <v>5.9677999999999995</v>
      </c>
      <c r="J286" s="34"/>
      <c r="K286" s="34">
        <f>(Tabela14[[#This Row],[REGIÃO01-3%]]*0.06)+Tabela14[[#This Row],[REGIÃO01-3%]]</f>
        <v>0</v>
      </c>
      <c r="L286" s="34">
        <f>(Tabela14[[#This Row],[PRECO 3%]]*0.05)+Tabela14[[#This Row],[PRECO 3%]]</f>
        <v>5.9115000000000002</v>
      </c>
      <c r="M286" s="34">
        <f>(Tabela14[[#This Row],[REGIÃO02 - 3%]]*0.06)+Tabela14[[#This Row],[REGIÃO02 - 3%]]</f>
        <v>6.2661899999999999</v>
      </c>
      <c r="N286" s="34">
        <f>(Tabela14[[#This Row],[PRECO 3%]]*0.08)+Tabela14[[#This Row],[PRECO 3%]]</f>
        <v>6.0804</v>
      </c>
      <c r="O286" s="34">
        <f>(Tabela14[[#This Row],[REGIÃO03-3%]]*0.06)+Tabela14[[#This Row],[REGIÃO03-3%]]</f>
        <v>6.4452239999999996</v>
      </c>
      <c r="P286" s="34">
        <f>(Tabela14[[#This Row],[PRECO 3%]]*0.06)+Tabela14[[#This Row],[PRECO 3%]]</f>
        <v>5.9677999999999995</v>
      </c>
      <c r="Q286" s="34">
        <f>(Tabela14[[#This Row],[REGIÃO04-3%]]*0.06)+Tabela14[[#This Row],[REGIÃO04-3%]]</f>
        <v>6.3258679999999998</v>
      </c>
    </row>
    <row r="287" spans="1:17" x14ac:dyDescent="0.25">
      <c r="A287">
        <v>1649</v>
      </c>
      <c r="B287" t="s">
        <v>27</v>
      </c>
      <c r="C287" t="s">
        <v>33</v>
      </c>
      <c r="D287" t="s">
        <v>60</v>
      </c>
      <c r="E287" s="1" t="s">
        <v>322</v>
      </c>
      <c r="F287" t="e">
        <f>VLOOKUP(Tabela14[[#This Row],[ID_COD]],Tabela2[],6,0)</f>
        <v>#N/A</v>
      </c>
      <c r="G287" t="s">
        <v>148</v>
      </c>
      <c r="H287" s="2">
        <v>7.25</v>
      </c>
      <c r="I287" s="34">
        <f>Tabela14[[#This Row],[PRECO 3%]]+(Tabela14[[#This Row],[PRECO 3%]]*0.06)</f>
        <v>7.6849999999999996</v>
      </c>
      <c r="J287" s="34"/>
      <c r="K287" s="34">
        <f>(Tabela14[[#This Row],[REGIÃO01-3%]]*0.06)+Tabela14[[#This Row],[REGIÃO01-3%]]</f>
        <v>0</v>
      </c>
      <c r="L287" s="34">
        <f>(Tabela14[[#This Row],[PRECO 3%]]*0.05)+Tabela14[[#This Row],[PRECO 3%]]</f>
        <v>7.6124999999999998</v>
      </c>
      <c r="M287" s="34">
        <f>(Tabela14[[#This Row],[REGIÃO02 - 3%]]*0.06)+Tabela14[[#This Row],[REGIÃO02 - 3%]]</f>
        <v>8.0692500000000003</v>
      </c>
      <c r="N287" s="34">
        <f>(Tabela14[[#This Row],[PRECO 3%]]*0.08)+Tabela14[[#This Row],[PRECO 3%]]</f>
        <v>7.83</v>
      </c>
      <c r="O287" s="34">
        <f>(Tabela14[[#This Row],[REGIÃO03-3%]]*0.06)+Tabela14[[#This Row],[REGIÃO03-3%]]</f>
        <v>8.2997999999999994</v>
      </c>
      <c r="P287" s="34">
        <f>(Tabela14[[#This Row],[PRECO 3%]]*0.06)+Tabela14[[#This Row],[PRECO 3%]]</f>
        <v>7.6849999999999996</v>
      </c>
      <c r="Q287" s="34">
        <f>(Tabela14[[#This Row],[REGIÃO04-3%]]*0.06)+Tabela14[[#This Row],[REGIÃO04-3%]]</f>
        <v>8.1460999999999988</v>
      </c>
    </row>
    <row r="288" spans="1:17" x14ac:dyDescent="0.25">
      <c r="A288">
        <v>1650</v>
      </c>
      <c r="B288" t="s">
        <v>27</v>
      </c>
      <c r="C288" t="s">
        <v>35</v>
      </c>
      <c r="D288" t="s">
        <v>60</v>
      </c>
      <c r="E288" s="1" t="s">
        <v>322</v>
      </c>
      <c r="F288" t="e">
        <f>VLOOKUP(Tabela14[[#This Row],[ID_COD]],Tabela2[],6,0)</f>
        <v>#N/A</v>
      </c>
      <c r="G288" t="s">
        <v>96</v>
      </c>
      <c r="H288" s="2">
        <v>10.74</v>
      </c>
      <c r="I288" s="34">
        <f>Tabela14[[#This Row],[PRECO 3%]]+(Tabela14[[#This Row],[PRECO 3%]]*0.06)</f>
        <v>11.384399999999999</v>
      </c>
      <c r="J288" s="34"/>
      <c r="K288" s="34">
        <f>(Tabela14[[#This Row],[REGIÃO01-3%]]*0.06)+Tabela14[[#This Row],[REGIÃO01-3%]]</f>
        <v>0</v>
      </c>
      <c r="L288" s="34">
        <f>(Tabela14[[#This Row],[PRECO 3%]]*0.05)+Tabela14[[#This Row],[PRECO 3%]]</f>
        <v>11.277000000000001</v>
      </c>
      <c r="M288" s="34">
        <f>(Tabela14[[#This Row],[REGIÃO02 - 3%]]*0.06)+Tabela14[[#This Row],[REGIÃO02 - 3%]]</f>
        <v>11.953620000000001</v>
      </c>
      <c r="N288" s="34">
        <f>(Tabela14[[#This Row],[PRECO 3%]]*0.08)+Tabela14[[#This Row],[PRECO 3%]]</f>
        <v>11.5992</v>
      </c>
      <c r="O288" s="34">
        <f>(Tabela14[[#This Row],[REGIÃO03-3%]]*0.06)+Tabela14[[#This Row],[REGIÃO03-3%]]</f>
        <v>12.295152</v>
      </c>
      <c r="P288" s="34">
        <f>(Tabela14[[#This Row],[PRECO 3%]]*0.06)+Tabela14[[#This Row],[PRECO 3%]]</f>
        <v>11.384399999999999</v>
      </c>
      <c r="Q288" s="34">
        <f>(Tabela14[[#This Row],[REGIÃO04-3%]]*0.06)+Tabela14[[#This Row],[REGIÃO04-3%]]</f>
        <v>12.067463999999999</v>
      </c>
    </row>
    <row r="289" spans="1:17" x14ac:dyDescent="0.25">
      <c r="A289">
        <v>1651</v>
      </c>
      <c r="B289" t="s">
        <v>27</v>
      </c>
      <c r="C289" t="s">
        <v>37</v>
      </c>
      <c r="D289" t="s">
        <v>60</v>
      </c>
      <c r="E289" s="1" t="s">
        <v>322</v>
      </c>
      <c r="F289" t="e">
        <f>VLOOKUP(Tabela14[[#This Row],[ID_COD]],Tabela2[],6,0)</f>
        <v>#N/A</v>
      </c>
      <c r="G289" t="s">
        <v>71</v>
      </c>
      <c r="H289" s="2">
        <v>5.38</v>
      </c>
      <c r="I289" s="34">
        <f>Tabela14[[#This Row],[PRECO 3%]]+(Tabela14[[#This Row],[PRECO 3%]]*0.06)</f>
        <v>5.7027999999999999</v>
      </c>
      <c r="J289" s="34"/>
      <c r="K289" s="34">
        <f>(Tabela14[[#This Row],[REGIÃO01-3%]]*0.06)+Tabela14[[#This Row],[REGIÃO01-3%]]</f>
        <v>0</v>
      </c>
      <c r="L289" s="34">
        <f>(Tabela14[[#This Row],[PRECO 3%]]*0.05)+Tabela14[[#This Row],[PRECO 3%]]</f>
        <v>5.649</v>
      </c>
      <c r="M289" s="34">
        <f>(Tabela14[[#This Row],[REGIÃO02 - 3%]]*0.06)+Tabela14[[#This Row],[REGIÃO02 - 3%]]</f>
        <v>5.98794</v>
      </c>
      <c r="N289" s="34">
        <f>(Tabela14[[#This Row],[PRECO 3%]]*0.08)+Tabela14[[#This Row],[PRECO 3%]]</f>
        <v>5.8103999999999996</v>
      </c>
      <c r="O289" s="34">
        <f>(Tabela14[[#This Row],[REGIÃO03-3%]]*0.06)+Tabela14[[#This Row],[REGIÃO03-3%]]</f>
        <v>6.1590239999999996</v>
      </c>
      <c r="P289" s="34">
        <f>(Tabela14[[#This Row],[PRECO 3%]]*0.06)+Tabela14[[#This Row],[PRECO 3%]]</f>
        <v>5.7027999999999999</v>
      </c>
      <c r="Q289" s="34">
        <f>(Tabela14[[#This Row],[REGIÃO04-3%]]*0.06)+Tabela14[[#This Row],[REGIÃO04-3%]]</f>
        <v>6.0449679999999999</v>
      </c>
    </row>
    <row r="290" spans="1:17" x14ac:dyDescent="0.25">
      <c r="A290">
        <v>1652</v>
      </c>
      <c r="B290" t="s">
        <v>27</v>
      </c>
      <c r="C290" t="s">
        <v>38</v>
      </c>
      <c r="D290" t="s">
        <v>60</v>
      </c>
      <c r="E290" s="1" t="s">
        <v>322</v>
      </c>
      <c r="F290" t="e">
        <f>VLOOKUP(Tabela14[[#This Row],[ID_COD]],Tabela2[],6,0)</f>
        <v>#N/A</v>
      </c>
      <c r="G290" t="s">
        <v>129</v>
      </c>
      <c r="H290" s="2">
        <v>6.78</v>
      </c>
      <c r="I290" s="34">
        <f>Tabela14[[#This Row],[PRECO 3%]]+(Tabela14[[#This Row],[PRECO 3%]]*0.06)</f>
        <v>7.1867999999999999</v>
      </c>
      <c r="J290" s="34"/>
      <c r="K290" s="34">
        <f>(Tabela14[[#This Row],[REGIÃO01-3%]]*0.06)+Tabela14[[#This Row],[REGIÃO01-3%]]</f>
        <v>0</v>
      </c>
      <c r="L290" s="34">
        <f>(Tabela14[[#This Row],[PRECO 3%]]*0.05)+Tabela14[[#This Row],[PRECO 3%]]</f>
        <v>7.1190000000000007</v>
      </c>
      <c r="M290" s="34">
        <f>(Tabela14[[#This Row],[REGIÃO02 - 3%]]*0.06)+Tabela14[[#This Row],[REGIÃO02 - 3%]]</f>
        <v>7.5461400000000003</v>
      </c>
      <c r="N290" s="34">
        <f>(Tabela14[[#This Row],[PRECO 3%]]*0.08)+Tabela14[[#This Row],[PRECO 3%]]</f>
        <v>7.3224</v>
      </c>
      <c r="O290" s="34">
        <f>(Tabela14[[#This Row],[REGIÃO03-3%]]*0.06)+Tabela14[[#This Row],[REGIÃO03-3%]]</f>
        <v>7.7617440000000002</v>
      </c>
      <c r="P290" s="34">
        <f>(Tabela14[[#This Row],[PRECO 3%]]*0.06)+Tabela14[[#This Row],[PRECO 3%]]</f>
        <v>7.1867999999999999</v>
      </c>
      <c r="Q290" s="34">
        <f>(Tabela14[[#This Row],[REGIÃO04-3%]]*0.06)+Tabela14[[#This Row],[REGIÃO04-3%]]</f>
        <v>7.6180079999999997</v>
      </c>
    </row>
    <row r="291" spans="1:17" x14ac:dyDescent="0.25">
      <c r="A291">
        <v>1653</v>
      </c>
      <c r="B291" t="s">
        <v>27</v>
      </c>
      <c r="C291" t="s">
        <v>39</v>
      </c>
      <c r="D291" t="s">
        <v>60</v>
      </c>
      <c r="E291" s="1" t="s">
        <v>322</v>
      </c>
      <c r="F291" t="e">
        <f>VLOOKUP(Tabela14[[#This Row],[ID_COD]],Tabela2[],6,0)</f>
        <v>#N/A</v>
      </c>
      <c r="G291" t="s">
        <v>143</v>
      </c>
      <c r="H291" s="2">
        <v>7.94</v>
      </c>
      <c r="I291" s="34">
        <f>Tabela14[[#This Row],[PRECO 3%]]+(Tabela14[[#This Row],[PRECO 3%]]*0.06)</f>
        <v>8.4164000000000012</v>
      </c>
      <c r="J291" s="34"/>
      <c r="K291" s="34">
        <f>(Tabela14[[#This Row],[REGIÃO01-3%]]*0.06)+Tabela14[[#This Row],[REGIÃO01-3%]]</f>
        <v>0</v>
      </c>
      <c r="L291" s="34">
        <f>(Tabela14[[#This Row],[PRECO 3%]]*0.05)+Tabela14[[#This Row],[PRECO 3%]]</f>
        <v>8.3369999999999997</v>
      </c>
      <c r="M291" s="34">
        <f>(Tabela14[[#This Row],[REGIÃO02 - 3%]]*0.06)+Tabela14[[#This Row],[REGIÃO02 - 3%]]</f>
        <v>8.8372200000000003</v>
      </c>
      <c r="N291" s="34">
        <f>(Tabela14[[#This Row],[PRECO 3%]]*0.08)+Tabela14[[#This Row],[PRECO 3%]]</f>
        <v>8.5752000000000006</v>
      </c>
      <c r="O291" s="34">
        <f>(Tabela14[[#This Row],[REGIÃO03-3%]]*0.06)+Tabela14[[#This Row],[REGIÃO03-3%]]</f>
        <v>9.0897120000000005</v>
      </c>
      <c r="P291" s="34">
        <f>(Tabela14[[#This Row],[PRECO 3%]]*0.06)+Tabela14[[#This Row],[PRECO 3%]]</f>
        <v>8.4164000000000012</v>
      </c>
      <c r="Q291" s="34">
        <f>(Tabela14[[#This Row],[REGIÃO04-3%]]*0.06)+Tabela14[[#This Row],[REGIÃO04-3%]]</f>
        <v>8.9213840000000015</v>
      </c>
    </row>
    <row r="292" spans="1:17" x14ac:dyDescent="0.25">
      <c r="A292">
        <v>1654</v>
      </c>
      <c r="B292" t="s">
        <v>27</v>
      </c>
      <c r="C292" t="s">
        <v>40</v>
      </c>
      <c r="D292" t="s">
        <v>60</v>
      </c>
      <c r="E292" s="1" t="s">
        <v>322</v>
      </c>
      <c r="F292" t="e">
        <f>VLOOKUP(Tabela14[[#This Row],[ID_COD]],Tabela2[],6,0)</f>
        <v>#N/A</v>
      </c>
      <c r="G292" t="s">
        <v>91</v>
      </c>
      <c r="H292" s="2">
        <v>10.3</v>
      </c>
      <c r="I292" s="34">
        <f>Tabela14[[#This Row],[PRECO 3%]]+(Tabela14[[#This Row],[PRECO 3%]]*0.06)</f>
        <v>10.918000000000001</v>
      </c>
      <c r="J292" s="34"/>
      <c r="K292" s="34">
        <f>(Tabela14[[#This Row],[REGIÃO01-3%]]*0.06)+Tabela14[[#This Row],[REGIÃO01-3%]]</f>
        <v>0</v>
      </c>
      <c r="L292" s="34">
        <f>(Tabela14[[#This Row],[PRECO 3%]]*0.05)+Tabela14[[#This Row],[PRECO 3%]]</f>
        <v>10.815000000000001</v>
      </c>
      <c r="M292" s="34">
        <f>(Tabela14[[#This Row],[REGIÃO02 - 3%]]*0.06)+Tabela14[[#This Row],[REGIÃO02 - 3%]]</f>
        <v>11.463900000000001</v>
      </c>
      <c r="N292" s="34">
        <f>(Tabela14[[#This Row],[PRECO 3%]]*0.08)+Tabela14[[#This Row],[PRECO 3%]]</f>
        <v>11.124000000000001</v>
      </c>
      <c r="O292" s="34">
        <f>(Tabela14[[#This Row],[REGIÃO03-3%]]*0.06)+Tabela14[[#This Row],[REGIÃO03-3%]]</f>
        <v>11.791440000000001</v>
      </c>
      <c r="P292" s="34">
        <f>(Tabela14[[#This Row],[PRECO 3%]]*0.06)+Tabela14[[#This Row],[PRECO 3%]]</f>
        <v>10.918000000000001</v>
      </c>
      <c r="Q292" s="34">
        <f>(Tabela14[[#This Row],[REGIÃO04-3%]]*0.06)+Tabela14[[#This Row],[REGIÃO04-3%]]</f>
        <v>11.573080000000001</v>
      </c>
    </row>
    <row r="293" spans="1:17" x14ac:dyDescent="0.25">
      <c r="A293">
        <v>1655</v>
      </c>
      <c r="B293" t="s">
        <v>27</v>
      </c>
      <c r="C293" t="s">
        <v>42</v>
      </c>
      <c r="D293" t="s">
        <v>60</v>
      </c>
      <c r="E293" s="1" t="s">
        <v>322</v>
      </c>
      <c r="F293" t="e">
        <f>VLOOKUP(Tabela14[[#This Row],[ID_COD]],Tabela2[],6,0)</f>
        <v>#N/A</v>
      </c>
      <c r="G293" t="s">
        <v>101</v>
      </c>
      <c r="H293" s="2">
        <v>14.74</v>
      </c>
      <c r="I293" s="34">
        <f>Tabela14[[#This Row],[PRECO 3%]]+(Tabela14[[#This Row],[PRECO 3%]]*0.06)</f>
        <v>15.6244</v>
      </c>
      <c r="J293" s="34"/>
      <c r="K293" s="34">
        <f>(Tabela14[[#This Row],[REGIÃO01-3%]]*0.06)+Tabela14[[#This Row],[REGIÃO01-3%]]</f>
        <v>0</v>
      </c>
      <c r="L293" s="34">
        <f>(Tabela14[[#This Row],[PRECO 3%]]*0.05)+Tabela14[[#This Row],[PRECO 3%]]</f>
        <v>15.477</v>
      </c>
      <c r="M293" s="34">
        <f>(Tabela14[[#This Row],[REGIÃO02 - 3%]]*0.06)+Tabela14[[#This Row],[REGIÃO02 - 3%]]</f>
        <v>16.405619999999999</v>
      </c>
      <c r="N293" s="34">
        <f>(Tabela14[[#This Row],[PRECO 3%]]*0.08)+Tabela14[[#This Row],[PRECO 3%]]</f>
        <v>15.9192</v>
      </c>
      <c r="O293" s="34">
        <f>(Tabela14[[#This Row],[REGIÃO03-3%]]*0.06)+Tabela14[[#This Row],[REGIÃO03-3%]]</f>
        <v>16.874352000000002</v>
      </c>
      <c r="P293" s="34">
        <f>(Tabela14[[#This Row],[PRECO 3%]]*0.06)+Tabela14[[#This Row],[PRECO 3%]]</f>
        <v>15.6244</v>
      </c>
      <c r="Q293" s="34">
        <f>(Tabela14[[#This Row],[REGIÃO04-3%]]*0.06)+Tabela14[[#This Row],[REGIÃO04-3%]]</f>
        <v>16.561864</v>
      </c>
    </row>
    <row r="294" spans="1:17" x14ac:dyDescent="0.25">
      <c r="A294">
        <v>1656</v>
      </c>
      <c r="B294" t="s">
        <v>27</v>
      </c>
      <c r="C294" t="s">
        <v>45</v>
      </c>
      <c r="D294" t="s">
        <v>61</v>
      </c>
      <c r="E294" s="1" t="s">
        <v>322</v>
      </c>
      <c r="F294">
        <f>VLOOKUP(Tabela14[[#This Row],[ID_COD]],Tabela2[],6,0)</f>
        <v>110</v>
      </c>
      <c r="G294" t="s">
        <v>69</v>
      </c>
      <c r="H294" s="2">
        <v>5.01</v>
      </c>
      <c r="I294" s="34">
        <f>Tabela14[[#This Row],[PRECO 3%]]+(Tabela14[[#This Row],[PRECO 3%]]*0.06)</f>
        <v>5.3106</v>
      </c>
      <c r="J294" s="34"/>
      <c r="K294" s="34">
        <f>(Tabela14[[#This Row],[REGIÃO01-3%]]*0.06)+Tabela14[[#This Row],[REGIÃO01-3%]]</f>
        <v>0</v>
      </c>
      <c r="L294" s="34">
        <f>(Tabela14[[#This Row],[PRECO 3%]]*0.05)+Tabela14[[#This Row],[PRECO 3%]]</f>
        <v>5.2604999999999995</v>
      </c>
      <c r="M294" s="34">
        <f>(Tabela14[[#This Row],[REGIÃO02 - 3%]]*0.06)+Tabela14[[#This Row],[REGIÃO02 - 3%]]</f>
        <v>5.5761299999999991</v>
      </c>
      <c r="N294" s="34">
        <f>(Tabela14[[#This Row],[PRECO 3%]]*0.08)+Tabela14[[#This Row],[PRECO 3%]]</f>
        <v>5.4108000000000001</v>
      </c>
      <c r="O294" s="34">
        <f>(Tabela14[[#This Row],[REGIÃO03-3%]]*0.06)+Tabela14[[#This Row],[REGIÃO03-3%]]</f>
        <v>5.7354479999999999</v>
      </c>
      <c r="P294" s="34">
        <f>(Tabela14[[#This Row],[PRECO 3%]]*0.06)+Tabela14[[#This Row],[PRECO 3%]]</f>
        <v>5.3106</v>
      </c>
      <c r="Q294" s="34">
        <f>(Tabela14[[#This Row],[REGIÃO04-3%]]*0.06)+Tabela14[[#This Row],[REGIÃO04-3%]]</f>
        <v>5.6292359999999997</v>
      </c>
    </row>
    <row r="295" spans="1:17" x14ac:dyDescent="0.25">
      <c r="A295" s="6">
        <v>1656</v>
      </c>
      <c r="B295" s="6" t="s">
        <v>370</v>
      </c>
      <c r="C295" s="6" t="s">
        <v>374</v>
      </c>
      <c r="D295" s="6" t="s">
        <v>372</v>
      </c>
      <c r="E295" s="1" t="s">
        <v>375</v>
      </c>
      <c r="F295" t="s">
        <v>417</v>
      </c>
      <c r="H295" s="22">
        <v>5.0111999999999997</v>
      </c>
      <c r="I295" s="34">
        <f>Tabela14[[#This Row],[PRECO 3%]]+(Tabela14[[#This Row],[PRECO 3%]]*0.06)</f>
        <v>5.3118719999999993</v>
      </c>
      <c r="J295" s="34"/>
      <c r="K295" s="34">
        <f>(Tabela14[[#This Row],[REGIÃO01-3%]]*0.06)+Tabela14[[#This Row],[REGIÃO01-3%]]</f>
        <v>0</v>
      </c>
      <c r="L295" s="34">
        <f>(Tabela14[[#This Row],[PRECO 3%]]*0.05)+Tabela14[[#This Row],[PRECO 3%]]</f>
        <v>5.2617599999999998</v>
      </c>
      <c r="M295" s="34">
        <f>(Tabela14[[#This Row],[REGIÃO02 - 3%]]*0.06)+Tabela14[[#This Row],[REGIÃO02 - 3%]]</f>
        <v>5.5774656</v>
      </c>
      <c r="N295" s="34">
        <f>(Tabela14[[#This Row],[PRECO 3%]]*0.08)+Tabela14[[#This Row],[PRECO 3%]]</f>
        <v>5.412096</v>
      </c>
      <c r="O295" s="34">
        <f>(Tabela14[[#This Row],[REGIÃO03-3%]]*0.06)+Tabela14[[#This Row],[REGIÃO03-3%]]</f>
        <v>5.7368217599999998</v>
      </c>
      <c r="P295" s="34">
        <f>(Tabela14[[#This Row],[PRECO 3%]]*0.06)+Tabela14[[#This Row],[PRECO 3%]]</f>
        <v>5.3118719999999993</v>
      </c>
      <c r="Q295" s="34">
        <f>(Tabela14[[#This Row],[REGIÃO04-3%]]*0.06)+Tabela14[[#This Row],[REGIÃO04-3%]]</f>
        <v>5.6305843199999988</v>
      </c>
    </row>
    <row r="296" spans="1:17" x14ac:dyDescent="0.25">
      <c r="A296">
        <v>1657</v>
      </c>
      <c r="B296" t="s">
        <v>27</v>
      </c>
      <c r="C296" t="s">
        <v>46</v>
      </c>
      <c r="D296" t="s">
        <v>61</v>
      </c>
      <c r="E296" s="1" t="s">
        <v>322</v>
      </c>
      <c r="F296" t="e">
        <f>VLOOKUP(Tabela14[[#This Row],[ID_COD]],Tabela2[],6,0)</f>
        <v>#N/A</v>
      </c>
      <c r="G296" t="s">
        <v>73</v>
      </c>
      <c r="H296" s="2">
        <v>6.2</v>
      </c>
      <c r="I296" s="34">
        <f>Tabela14[[#This Row],[PRECO 3%]]+(Tabela14[[#This Row],[PRECO 3%]]*0.06)</f>
        <v>6.5720000000000001</v>
      </c>
      <c r="J296" s="34"/>
      <c r="K296" s="34">
        <f>(Tabela14[[#This Row],[REGIÃO01-3%]]*0.06)+Tabela14[[#This Row],[REGIÃO01-3%]]</f>
        <v>0</v>
      </c>
      <c r="L296" s="34">
        <f>(Tabela14[[#This Row],[PRECO 3%]]*0.05)+Tabela14[[#This Row],[PRECO 3%]]</f>
        <v>6.51</v>
      </c>
      <c r="M296" s="34">
        <f>(Tabela14[[#This Row],[REGIÃO02 - 3%]]*0.06)+Tabela14[[#This Row],[REGIÃO02 - 3%]]</f>
        <v>6.9005999999999998</v>
      </c>
      <c r="N296" s="34">
        <f>(Tabela14[[#This Row],[PRECO 3%]]*0.08)+Tabela14[[#This Row],[PRECO 3%]]</f>
        <v>6.6960000000000006</v>
      </c>
      <c r="O296" s="34">
        <f>(Tabela14[[#This Row],[REGIÃO03-3%]]*0.06)+Tabela14[[#This Row],[REGIÃO03-3%]]</f>
        <v>7.097760000000001</v>
      </c>
      <c r="P296" s="34">
        <f>(Tabela14[[#This Row],[PRECO 3%]]*0.06)+Tabela14[[#This Row],[PRECO 3%]]</f>
        <v>6.5720000000000001</v>
      </c>
      <c r="Q296" s="34">
        <f>(Tabela14[[#This Row],[REGIÃO04-3%]]*0.06)+Tabela14[[#This Row],[REGIÃO04-3%]]</f>
        <v>6.9663199999999996</v>
      </c>
    </row>
    <row r="297" spans="1:17" x14ac:dyDescent="0.25">
      <c r="A297" s="6">
        <v>1657</v>
      </c>
      <c r="B297" s="6" t="s">
        <v>370</v>
      </c>
      <c r="C297" s="6" t="s">
        <v>376</v>
      </c>
      <c r="D297" s="6" t="s">
        <v>372</v>
      </c>
      <c r="E297" s="1" t="s">
        <v>422</v>
      </c>
      <c r="F297" t="s">
        <v>417</v>
      </c>
      <c r="H297" s="22">
        <v>6.1992000000000003</v>
      </c>
      <c r="I297" s="34">
        <f>Tabela14[[#This Row],[PRECO 3%]]+(Tabela14[[#This Row],[PRECO 3%]]*0.06)</f>
        <v>6.5711520000000005</v>
      </c>
      <c r="J297" s="34"/>
      <c r="K297" s="34">
        <f>(Tabela14[[#This Row],[REGIÃO01-3%]]*0.06)+Tabela14[[#This Row],[REGIÃO01-3%]]</f>
        <v>0</v>
      </c>
      <c r="L297" s="34">
        <f>(Tabela14[[#This Row],[PRECO 3%]]*0.05)+Tabela14[[#This Row],[PRECO 3%]]</f>
        <v>6.5091600000000005</v>
      </c>
      <c r="M297" s="34">
        <f>(Tabela14[[#This Row],[REGIÃO02 - 3%]]*0.06)+Tabela14[[#This Row],[REGIÃO02 - 3%]]</f>
        <v>6.8997096000000004</v>
      </c>
      <c r="N297" s="34">
        <f>(Tabela14[[#This Row],[PRECO 3%]]*0.08)+Tabela14[[#This Row],[PRECO 3%]]</f>
        <v>6.6951360000000006</v>
      </c>
      <c r="O297" s="34">
        <f>(Tabela14[[#This Row],[REGIÃO03-3%]]*0.06)+Tabela14[[#This Row],[REGIÃO03-3%]]</f>
        <v>7.0968441600000007</v>
      </c>
      <c r="P297" s="34">
        <f>(Tabela14[[#This Row],[PRECO 3%]]*0.06)+Tabela14[[#This Row],[PRECO 3%]]</f>
        <v>6.5711520000000005</v>
      </c>
      <c r="Q297" s="34">
        <f>(Tabela14[[#This Row],[REGIÃO04-3%]]*0.06)+Tabela14[[#This Row],[REGIÃO04-3%]]</f>
        <v>6.9654211200000002</v>
      </c>
    </row>
    <row r="298" spans="1:17" x14ac:dyDescent="0.25">
      <c r="A298">
        <v>1658</v>
      </c>
      <c r="B298" t="s">
        <v>27</v>
      </c>
      <c r="C298" t="s">
        <v>47</v>
      </c>
      <c r="D298" t="s">
        <v>61</v>
      </c>
      <c r="E298" s="1" t="s">
        <v>322</v>
      </c>
      <c r="F298" t="e">
        <f>VLOOKUP(Tabela14[[#This Row],[ID_COD]],Tabela2[],6,0)</f>
        <v>#N/A</v>
      </c>
      <c r="G298" t="s">
        <v>80</v>
      </c>
      <c r="H298" s="2">
        <v>7.1</v>
      </c>
      <c r="I298" s="34">
        <f>Tabela14[[#This Row],[PRECO 3%]]+(Tabela14[[#This Row],[PRECO 3%]]*0.06)</f>
        <v>7.5259999999999998</v>
      </c>
      <c r="J298" s="34"/>
      <c r="K298" s="34">
        <f>(Tabela14[[#This Row],[REGIÃO01-3%]]*0.06)+Tabela14[[#This Row],[REGIÃO01-3%]]</f>
        <v>0</v>
      </c>
      <c r="L298" s="34">
        <f>(Tabela14[[#This Row],[PRECO 3%]]*0.05)+Tabela14[[#This Row],[PRECO 3%]]</f>
        <v>7.4550000000000001</v>
      </c>
      <c r="M298" s="34">
        <f>(Tabela14[[#This Row],[REGIÃO02 - 3%]]*0.06)+Tabela14[[#This Row],[REGIÃO02 - 3%]]</f>
        <v>7.9023000000000003</v>
      </c>
      <c r="N298" s="34">
        <f>(Tabela14[[#This Row],[PRECO 3%]]*0.08)+Tabela14[[#This Row],[PRECO 3%]]</f>
        <v>7.6679999999999993</v>
      </c>
      <c r="O298" s="34">
        <f>(Tabela14[[#This Row],[REGIÃO03-3%]]*0.06)+Tabela14[[#This Row],[REGIÃO03-3%]]</f>
        <v>8.1280799999999989</v>
      </c>
      <c r="P298" s="34">
        <f>(Tabela14[[#This Row],[PRECO 3%]]*0.06)+Tabela14[[#This Row],[PRECO 3%]]</f>
        <v>7.5259999999999998</v>
      </c>
      <c r="Q298" s="34">
        <f>(Tabela14[[#This Row],[REGIÃO04-3%]]*0.06)+Tabela14[[#This Row],[REGIÃO04-3%]]</f>
        <v>7.9775599999999995</v>
      </c>
    </row>
    <row r="299" spans="1:17" x14ac:dyDescent="0.25">
      <c r="A299" s="6">
        <v>1658</v>
      </c>
      <c r="B299" s="6" t="s">
        <v>370</v>
      </c>
      <c r="C299" s="6" t="s">
        <v>377</v>
      </c>
      <c r="D299" s="6" t="s">
        <v>372</v>
      </c>
      <c r="E299" s="1" t="s">
        <v>423</v>
      </c>
      <c r="F299" t="s">
        <v>417</v>
      </c>
      <c r="H299" s="22">
        <v>7.0956000000000001</v>
      </c>
      <c r="I299" s="34">
        <f>Tabela14[[#This Row],[PRECO 3%]]+(Tabela14[[#This Row],[PRECO 3%]]*0.06)</f>
        <v>7.5213359999999998</v>
      </c>
      <c r="J299" s="34"/>
      <c r="K299" s="34">
        <f>(Tabela14[[#This Row],[REGIÃO01-3%]]*0.06)+Tabela14[[#This Row],[REGIÃO01-3%]]</f>
        <v>0</v>
      </c>
      <c r="L299" s="34">
        <f>(Tabela14[[#This Row],[PRECO 3%]]*0.05)+Tabela14[[#This Row],[PRECO 3%]]</f>
        <v>7.45038</v>
      </c>
      <c r="M299" s="34">
        <f>(Tabela14[[#This Row],[REGIÃO02 - 3%]]*0.06)+Tabela14[[#This Row],[REGIÃO02 - 3%]]</f>
        <v>7.8974028000000001</v>
      </c>
      <c r="N299" s="34">
        <f>(Tabela14[[#This Row],[PRECO 3%]]*0.08)+Tabela14[[#This Row],[PRECO 3%]]</f>
        <v>7.6632480000000003</v>
      </c>
      <c r="O299" s="34">
        <f>(Tabela14[[#This Row],[REGIÃO03-3%]]*0.06)+Tabela14[[#This Row],[REGIÃO03-3%]]</f>
        <v>8.1230428799999999</v>
      </c>
      <c r="P299" s="34">
        <f>(Tabela14[[#This Row],[PRECO 3%]]*0.06)+Tabela14[[#This Row],[PRECO 3%]]</f>
        <v>7.5213359999999998</v>
      </c>
      <c r="Q299" s="34">
        <f>(Tabela14[[#This Row],[REGIÃO04-3%]]*0.06)+Tabela14[[#This Row],[REGIÃO04-3%]]</f>
        <v>7.9726161599999994</v>
      </c>
    </row>
    <row r="300" spans="1:17" x14ac:dyDescent="0.25">
      <c r="A300">
        <v>1659</v>
      </c>
      <c r="B300" t="s">
        <v>27</v>
      </c>
      <c r="C300" t="s">
        <v>48</v>
      </c>
      <c r="D300" t="s">
        <v>61</v>
      </c>
      <c r="E300" s="1" t="s">
        <v>322</v>
      </c>
      <c r="F300" t="e">
        <f>VLOOKUP(Tabela14[[#This Row],[ID_COD]],Tabela2[],6,0)</f>
        <v>#N/A</v>
      </c>
      <c r="G300" t="s">
        <v>87</v>
      </c>
      <c r="H300" s="2">
        <v>9.1300000000000008</v>
      </c>
      <c r="I300" s="34">
        <f>Tabela14[[#This Row],[PRECO 3%]]+(Tabela14[[#This Row],[PRECO 3%]]*0.06)</f>
        <v>9.6778000000000013</v>
      </c>
      <c r="J300" s="34"/>
      <c r="K300" s="34">
        <f>(Tabela14[[#This Row],[REGIÃO01-3%]]*0.06)+Tabela14[[#This Row],[REGIÃO01-3%]]</f>
        <v>0</v>
      </c>
      <c r="L300" s="34">
        <f>(Tabela14[[#This Row],[PRECO 3%]]*0.05)+Tabela14[[#This Row],[PRECO 3%]]</f>
        <v>9.5865000000000009</v>
      </c>
      <c r="M300" s="34">
        <f>(Tabela14[[#This Row],[REGIÃO02 - 3%]]*0.06)+Tabela14[[#This Row],[REGIÃO02 - 3%]]</f>
        <v>10.16169</v>
      </c>
      <c r="N300" s="34">
        <f>(Tabela14[[#This Row],[PRECO 3%]]*0.08)+Tabela14[[#This Row],[PRECO 3%]]</f>
        <v>9.8604000000000003</v>
      </c>
      <c r="O300" s="34">
        <f>(Tabela14[[#This Row],[REGIÃO03-3%]]*0.06)+Tabela14[[#This Row],[REGIÃO03-3%]]</f>
        <v>10.452024</v>
      </c>
      <c r="P300" s="34">
        <f>(Tabela14[[#This Row],[PRECO 3%]]*0.06)+Tabela14[[#This Row],[PRECO 3%]]</f>
        <v>9.6778000000000013</v>
      </c>
      <c r="Q300" s="34">
        <f>(Tabela14[[#This Row],[REGIÃO04-3%]]*0.06)+Tabela14[[#This Row],[REGIÃO04-3%]]</f>
        <v>10.258468000000001</v>
      </c>
    </row>
    <row r="301" spans="1:17" x14ac:dyDescent="0.25">
      <c r="A301" s="6">
        <v>1659</v>
      </c>
      <c r="B301" s="6" t="s">
        <v>370</v>
      </c>
      <c r="C301" s="6" t="s">
        <v>379</v>
      </c>
      <c r="D301" s="6" t="s">
        <v>372</v>
      </c>
      <c r="E301" s="1" t="s">
        <v>380</v>
      </c>
      <c r="F301" t="s">
        <v>417</v>
      </c>
      <c r="H301" s="22">
        <v>9.1259999999999994</v>
      </c>
      <c r="I301" s="34">
        <f>Tabela14[[#This Row],[PRECO 3%]]+(Tabela14[[#This Row],[PRECO 3%]]*0.06)</f>
        <v>9.6735600000000002</v>
      </c>
      <c r="J301" s="34"/>
      <c r="K301" s="34">
        <f>(Tabela14[[#This Row],[REGIÃO01-3%]]*0.06)+Tabela14[[#This Row],[REGIÃO01-3%]]</f>
        <v>0</v>
      </c>
      <c r="L301" s="34">
        <f>(Tabela14[[#This Row],[PRECO 3%]]*0.05)+Tabela14[[#This Row],[PRECO 3%]]</f>
        <v>9.5823</v>
      </c>
      <c r="M301" s="34">
        <f>(Tabela14[[#This Row],[REGIÃO02 - 3%]]*0.06)+Tabela14[[#This Row],[REGIÃO02 - 3%]]</f>
        <v>10.157238</v>
      </c>
      <c r="N301" s="34">
        <f>(Tabela14[[#This Row],[PRECO 3%]]*0.08)+Tabela14[[#This Row],[PRECO 3%]]</f>
        <v>9.8560799999999986</v>
      </c>
      <c r="O301" s="34">
        <f>(Tabela14[[#This Row],[REGIÃO03-3%]]*0.06)+Tabela14[[#This Row],[REGIÃO03-3%]]</f>
        <v>10.447444799999998</v>
      </c>
      <c r="P301" s="34">
        <f>(Tabela14[[#This Row],[PRECO 3%]]*0.06)+Tabela14[[#This Row],[PRECO 3%]]</f>
        <v>9.6735600000000002</v>
      </c>
      <c r="Q301" s="34">
        <f>(Tabela14[[#This Row],[REGIÃO04-3%]]*0.06)+Tabela14[[#This Row],[REGIÃO04-3%]]</f>
        <v>10.2539736</v>
      </c>
    </row>
    <row r="302" spans="1:17" x14ac:dyDescent="0.25">
      <c r="A302">
        <v>1660</v>
      </c>
      <c r="B302" t="s">
        <v>27</v>
      </c>
      <c r="C302" t="s">
        <v>50</v>
      </c>
      <c r="D302" t="s">
        <v>61</v>
      </c>
      <c r="E302" s="1" t="s">
        <v>322</v>
      </c>
      <c r="F302" t="e">
        <f>VLOOKUP(Tabela14[[#This Row],[ID_COD]],Tabela2[],6,0)</f>
        <v>#N/A</v>
      </c>
      <c r="G302" t="s">
        <v>96</v>
      </c>
      <c r="H302" s="2">
        <v>13.59</v>
      </c>
      <c r="I302" s="34">
        <f>Tabela14[[#This Row],[PRECO 3%]]+(Tabela14[[#This Row],[PRECO 3%]]*0.06)</f>
        <v>14.4054</v>
      </c>
      <c r="J302" s="34"/>
      <c r="K302" s="34">
        <f>(Tabela14[[#This Row],[REGIÃO01-3%]]*0.06)+Tabela14[[#This Row],[REGIÃO01-3%]]</f>
        <v>0</v>
      </c>
      <c r="L302" s="34">
        <f>(Tabela14[[#This Row],[PRECO 3%]]*0.05)+Tabela14[[#This Row],[PRECO 3%]]</f>
        <v>14.269500000000001</v>
      </c>
      <c r="M302" s="34">
        <f>(Tabela14[[#This Row],[REGIÃO02 - 3%]]*0.06)+Tabela14[[#This Row],[REGIÃO02 - 3%]]</f>
        <v>15.125670000000001</v>
      </c>
      <c r="N302" s="34">
        <f>(Tabela14[[#This Row],[PRECO 3%]]*0.08)+Tabela14[[#This Row],[PRECO 3%]]</f>
        <v>14.677199999999999</v>
      </c>
      <c r="O302" s="34">
        <f>(Tabela14[[#This Row],[REGIÃO03-3%]]*0.06)+Tabela14[[#This Row],[REGIÃO03-3%]]</f>
        <v>15.557831999999999</v>
      </c>
      <c r="P302" s="34">
        <f>(Tabela14[[#This Row],[PRECO 3%]]*0.06)+Tabela14[[#This Row],[PRECO 3%]]</f>
        <v>14.4054</v>
      </c>
      <c r="Q302" s="34">
        <f>(Tabela14[[#This Row],[REGIÃO04-3%]]*0.06)+Tabela14[[#This Row],[REGIÃO04-3%]]</f>
        <v>15.269724</v>
      </c>
    </row>
    <row r="303" spans="1:17" x14ac:dyDescent="0.25">
      <c r="A303" s="6">
        <v>1660</v>
      </c>
      <c r="B303" s="6" t="s">
        <v>370</v>
      </c>
      <c r="C303" s="6" t="s">
        <v>381</v>
      </c>
      <c r="D303" s="6" t="s">
        <v>372</v>
      </c>
      <c r="E303" s="1" t="s">
        <v>424</v>
      </c>
      <c r="F303" t="s">
        <v>417</v>
      </c>
      <c r="H303" s="22">
        <v>13.586399999999999</v>
      </c>
      <c r="I303" s="34">
        <f>Tabela14[[#This Row],[PRECO 3%]]+(Tabela14[[#This Row],[PRECO 3%]]*0.06)</f>
        <v>14.401584</v>
      </c>
      <c r="J303" s="34"/>
      <c r="K303" s="34">
        <f>(Tabela14[[#This Row],[REGIÃO01-3%]]*0.06)+Tabela14[[#This Row],[REGIÃO01-3%]]</f>
        <v>0</v>
      </c>
      <c r="L303" s="34">
        <f>(Tabela14[[#This Row],[PRECO 3%]]*0.05)+Tabela14[[#This Row],[PRECO 3%]]</f>
        <v>14.26572</v>
      </c>
      <c r="M303" s="34">
        <f>(Tabela14[[#This Row],[REGIÃO02 - 3%]]*0.06)+Tabela14[[#This Row],[REGIÃO02 - 3%]]</f>
        <v>15.1216632</v>
      </c>
      <c r="N303" s="34">
        <f>(Tabela14[[#This Row],[PRECO 3%]]*0.08)+Tabela14[[#This Row],[PRECO 3%]]</f>
        <v>14.673311999999999</v>
      </c>
      <c r="O303" s="34">
        <f>(Tabela14[[#This Row],[REGIÃO03-3%]]*0.06)+Tabela14[[#This Row],[REGIÃO03-3%]]</f>
        <v>15.55371072</v>
      </c>
      <c r="P303" s="34">
        <f>(Tabela14[[#This Row],[PRECO 3%]]*0.06)+Tabela14[[#This Row],[PRECO 3%]]</f>
        <v>14.401584</v>
      </c>
      <c r="Q303" s="34">
        <f>(Tabela14[[#This Row],[REGIÃO04-3%]]*0.06)+Tabela14[[#This Row],[REGIÃO04-3%]]</f>
        <v>15.26567904</v>
      </c>
    </row>
    <row r="304" spans="1:17" x14ac:dyDescent="0.25">
      <c r="A304">
        <v>1661</v>
      </c>
      <c r="B304" t="s">
        <v>27</v>
      </c>
      <c r="C304" t="s">
        <v>52</v>
      </c>
      <c r="D304" t="s">
        <v>61</v>
      </c>
      <c r="E304" s="1" t="s">
        <v>322</v>
      </c>
      <c r="F304" t="e">
        <f>VLOOKUP(Tabela14[[#This Row],[ID_COD]],Tabela2[],6,0)</f>
        <v>#N/A</v>
      </c>
      <c r="G304" t="s">
        <v>116</v>
      </c>
      <c r="H304" s="2">
        <v>6.41</v>
      </c>
      <c r="I304" s="34">
        <f>Tabela14[[#This Row],[PRECO 3%]]+(Tabela14[[#This Row],[PRECO 3%]]*0.06)</f>
        <v>6.7946</v>
      </c>
      <c r="J304" s="34"/>
      <c r="K304" s="34">
        <f>(Tabela14[[#This Row],[REGIÃO01-3%]]*0.06)+Tabela14[[#This Row],[REGIÃO01-3%]]</f>
        <v>0</v>
      </c>
      <c r="L304" s="34">
        <f>(Tabela14[[#This Row],[PRECO 3%]]*0.05)+Tabela14[[#This Row],[PRECO 3%]]</f>
        <v>6.7305000000000001</v>
      </c>
      <c r="M304" s="34">
        <f>(Tabela14[[#This Row],[REGIÃO02 - 3%]]*0.06)+Tabela14[[#This Row],[REGIÃO02 - 3%]]</f>
        <v>7.1343300000000003</v>
      </c>
      <c r="N304" s="34">
        <f>(Tabela14[[#This Row],[PRECO 3%]]*0.08)+Tabela14[[#This Row],[PRECO 3%]]</f>
        <v>6.9228000000000005</v>
      </c>
      <c r="O304" s="34">
        <f>(Tabela14[[#This Row],[REGIÃO03-3%]]*0.06)+Tabela14[[#This Row],[REGIÃO03-3%]]</f>
        <v>7.3381680000000005</v>
      </c>
      <c r="P304" s="34">
        <f>(Tabela14[[#This Row],[PRECO 3%]]*0.06)+Tabela14[[#This Row],[PRECO 3%]]</f>
        <v>6.7946</v>
      </c>
      <c r="Q304" s="34">
        <f>(Tabela14[[#This Row],[REGIÃO04-3%]]*0.06)+Tabela14[[#This Row],[REGIÃO04-3%]]</f>
        <v>7.2022760000000003</v>
      </c>
    </row>
    <row r="305" spans="1:17" x14ac:dyDescent="0.25">
      <c r="A305" s="6">
        <v>1661</v>
      </c>
      <c r="B305" s="6" t="s">
        <v>370</v>
      </c>
      <c r="C305" s="6" t="s">
        <v>385</v>
      </c>
      <c r="D305" s="6" t="s">
        <v>372</v>
      </c>
      <c r="E305" s="1" t="s">
        <v>378</v>
      </c>
      <c r="F305" t="s">
        <v>417</v>
      </c>
      <c r="H305" s="22">
        <v>6.9228000000000005</v>
      </c>
      <c r="I305" s="34">
        <f>Tabela14[[#This Row],[PRECO 3%]]+(Tabela14[[#This Row],[PRECO 3%]]*0.06)</f>
        <v>7.3381680000000005</v>
      </c>
      <c r="J305" s="34"/>
      <c r="K305" s="34">
        <f>(Tabela14[[#This Row],[REGIÃO01-3%]]*0.06)+Tabela14[[#This Row],[REGIÃO01-3%]]</f>
        <v>0</v>
      </c>
      <c r="L305" s="34">
        <f>(Tabela14[[#This Row],[PRECO 3%]]*0.05)+Tabela14[[#This Row],[PRECO 3%]]</f>
        <v>7.2689400000000006</v>
      </c>
      <c r="M305" s="34">
        <f>(Tabela14[[#This Row],[REGIÃO02 - 3%]]*0.06)+Tabela14[[#This Row],[REGIÃO02 - 3%]]</f>
        <v>7.7050764000000003</v>
      </c>
      <c r="N305" s="34">
        <f>(Tabela14[[#This Row],[PRECO 3%]]*0.08)+Tabela14[[#This Row],[PRECO 3%]]</f>
        <v>7.476624000000001</v>
      </c>
      <c r="O305" s="34">
        <f>(Tabela14[[#This Row],[REGIÃO03-3%]]*0.06)+Tabela14[[#This Row],[REGIÃO03-3%]]</f>
        <v>7.9252214400000014</v>
      </c>
      <c r="P305" s="34">
        <f>(Tabela14[[#This Row],[PRECO 3%]]*0.06)+Tabela14[[#This Row],[PRECO 3%]]</f>
        <v>7.3381680000000005</v>
      </c>
      <c r="Q305" s="34">
        <f>(Tabela14[[#This Row],[REGIÃO04-3%]]*0.06)+Tabela14[[#This Row],[REGIÃO04-3%]]</f>
        <v>7.7784580800000001</v>
      </c>
    </row>
    <row r="306" spans="1:17" x14ac:dyDescent="0.25">
      <c r="A306">
        <v>1662</v>
      </c>
      <c r="B306" t="s">
        <v>27</v>
      </c>
      <c r="C306" t="s">
        <v>53</v>
      </c>
      <c r="D306" t="s">
        <v>61</v>
      </c>
      <c r="E306" s="1" t="s">
        <v>322</v>
      </c>
      <c r="F306" t="e">
        <f>VLOOKUP(Tabela14[[#This Row],[ID_COD]],Tabela2[],6,0)</f>
        <v>#N/A</v>
      </c>
      <c r="G306" t="s">
        <v>77</v>
      </c>
      <c r="H306" s="2">
        <v>7.92</v>
      </c>
      <c r="I306" s="34">
        <f>Tabela14[[#This Row],[PRECO 3%]]+(Tabela14[[#This Row],[PRECO 3%]]*0.06)</f>
        <v>8.3951999999999991</v>
      </c>
      <c r="J306" s="34"/>
      <c r="K306" s="34">
        <f>(Tabela14[[#This Row],[REGIÃO01-3%]]*0.06)+Tabela14[[#This Row],[REGIÃO01-3%]]</f>
        <v>0</v>
      </c>
      <c r="L306" s="34">
        <f>(Tabela14[[#This Row],[PRECO 3%]]*0.05)+Tabela14[[#This Row],[PRECO 3%]]</f>
        <v>8.3160000000000007</v>
      </c>
      <c r="M306" s="34">
        <f>(Tabela14[[#This Row],[REGIÃO02 - 3%]]*0.06)+Tabela14[[#This Row],[REGIÃO02 - 3%]]</f>
        <v>8.814960000000001</v>
      </c>
      <c r="N306" s="34">
        <f>(Tabela14[[#This Row],[PRECO 3%]]*0.08)+Tabela14[[#This Row],[PRECO 3%]]</f>
        <v>8.5535999999999994</v>
      </c>
      <c r="O306" s="34">
        <f>(Tabela14[[#This Row],[REGIÃO03-3%]]*0.06)+Tabela14[[#This Row],[REGIÃO03-3%]]</f>
        <v>9.0668159999999993</v>
      </c>
      <c r="P306" s="34">
        <f>(Tabela14[[#This Row],[PRECO 3%]]*0.06)+Tabela14[[#This Row],[PRECO 3%]]</f>
        <v>8.3951999999999991</v>
      </c>
      <c r="Q306" s="34">
        <f>(Tabela14[[#This Row],[REGIÃO04-3%]]*0.06)+Tabela14[[#This Row],[REGIÃO04-3%]]</f>
        <v>8.8989119999999993</v>
      </c>
    </row>
    <row r="307" spans="1:17" x14ac:dyDescent="0.25">
      <c r="A307" s="6">
        <v>1662</v>
      </c>
      <c r="B307" s="6" t="s">
        <v>370</v>
      </c>
      <c r="C307" s="6" t="s">
        <v>387</v>
      </c>
      <c r="D307" s="6" t="s">
        <v>372</v>
      </c>
      <c r="E307" s="1" t="s">
        <v>423</v>
      </c>
      <c r="F307" t="s">
        <v>417</v>
      </c>
      <c r="H307" s="22">
        <v>8.5535999999999994</v>
      </c>
      <c r="I307" s="34">
        <f>Tabela14[[#This Row],[PRECO 3%]]+(Tabela14[[#This Row],[PRECO 3%]]*0.06)</f>
        <v>9.0668159999999993</v>
      </c>
      <c r="J307" s="34"/>
      <c r="K307" s="34">
        <f>(Tabela14[[#This Row],[REGIÃO01-3%]]*0.06)+Tabela14[[#This Row],[REGIÃO01-3%]]</f>
        <v>0</v>
      </c>
      <c r="L307" s="34">
        <f>(Tabela14[[#This Row],[PRECO 3%]]*0.05)+Tabela14[[#This Row],[PRECO 3%]]</f>
        <v>8.9812799999999999</v>
      </c>
      <c r="M307" s="34">
        <f>(Tabela14[[#This Row],[REGIÃO02 - 3%]]*0.06)+Tabela14[[#This Row],[REGIÃO02 - 3%]]</f>
        <v>9.5201568000000005</v>
      </c>
      <c r="N307" s="34">
        <f>(Tabela14[[#This Row],[PRECO 3%]]*0.08)+Tabela14[[#This Row],[PRECO 3%]]</f>
        <v>9.2378879999999999</v>
      </c>
      <c r="O307" s="34">
        <f>(Tabela14[[#This Row],[REGIÃO03-3%]]*0.06)+Tabela14[[#This Row],[REGIÃO03-3%]]</f>
        <v>9.7921612800000002</v>
      </c>
      <c r="P307" s="34">
        <f>(Tabela14[[#This Row],[PRECO 3%]]*0.06)+Tabela14[[#This Row],[PRECO 3%]]</f>
        <v>9.0668159999999993</v>
      </c>
      <c r="Q307" s="34">
        <f>(Tabela14[[#This Row],[REGIÃO04-3%]]*0.06)+Tabela14[[#This Row],[REGIÃO04-3%]]</f>
        <v>9.6108249599999986</v>
      </c>
    </row>
    <row r="308" spans="1:17" x14ac:dyDescent="0.25">
      <c r="A308">
        <v>1663</v>
      </c>
      <c r="B308" t="s">
        <v>27</v>
      </c>
      <c r="C308" t="s">
        <v>54</v>
      </c>
      <c r="D308" t="s">
        <v>61</v>
      </c>
      <c r="E308" s="1" t="s">
        <v>322</v>
      </c>
      <c r="F308" t="e">
        <f>VLOOKUP(Tabela14[[#This Row],[ID_COD]],Tabela2[],6,0)</f>
        <v>#N/A</v>
      </c>
      <c r="G308" t="s">
        <v>104</v>
      </c>
      <c r="H308" s="2">
        <v>9.3699999999999992</v>
      </c>
      <c r="I308" s="34">
        <f>Tabela14[[#This Row],[PRECO 3%]]+(Tabela14[[#This Row],[PRECO 3%]]*0.06)</f>
        <v>9.9321999999999999</v>
      </c>
      <c r="J308" s="34"/>
      <c r="K308" s="34">
        <f>(Tabela14[[#This Row],[REGIÃO01-3%]]*0.06)+Tabela14[[#This Row],[REGIÃO01-3%]]</f>
        <v>0</v>
      </c>
      <c r="L308" s="34">
        <f>(Tabela14[[#This Row],[PRECO 3%]]*0.05)+Tabela14[[#This Row],[PRECO 3%]]</f>
        <v>9.8384999999999998</v>
      </c>
      <c r="M308" s="34">
        <f>(Tabela14[[#This Row],[REGIÃO02 - 3%]]*0.06)+Tabela14[[#This Row],[REGIÃO02 - 3%]]</f>
        <v>10.42881</v>
      </c>
      <c r="N308" s="34">
        <f>(Tabela14[[#This Row],[PRECO 3%]]*0.08)+Tabela14[[#This Row],[PRECO 3%]]</f>
        <v>10.119599999999998</v>
      </c>
      <c r="O308" s="34">
        <f>(Tabela14[[#This Row],[REGIÃO03-3%]]*0.06)+Tabela14[[#This Row],[REGIÃO03-3%]]</f>
        <v>10.726775999999997</v>
      </c>
      <c r="P308" s="34">
        <f>(Tabela14[[#This Row],[PRECO 3%]]*0.06)+Tabela14[[#This Row],[PRECO 3%]]</f>
        <v>9.9321999999999999</v>
      </c>
      <c r="Q308" s="34">
        <f>(Tabela14[[#This Row],[REGIÃO04-3%]]*0.06)+Tabela14[[#This Row],[REGIÃO04-3%]]</f>
        <v>10.528131999999999</v>
      </c>
    </row>
    <row r="309" spans="1:17" x14ac:dyDescent="0.25">
      <c r="A309" s="6">
        <v>1663</v>
      </c>
      <c r="B309" s="6" t="s">
        <v>370</v>
      </c>
      <c r="C309" s="6" t="s">
        <v>388</v>
      </c>
      <c r="D309" s="6" t="s">
        <v>372</v>
      </c>
      <c r="E309" s="1" t="s">
        <v>380</v>
      </c>
      <c r="F309" t="s">
        <v>417</v>
      </c>
      <c r="H309" s="22">
        <v>10.119599999999998</v>
      </c>
      <c r="I309" s="34">
        <f>Tabela14[[#This Row],[PRECO 3%]]+(Tabela14[[#This Row],[PRECO 3%]]*0.06)</f>
        <v>10.726775999999997</v>
      </c>
      <c r="J309" s="34"/>
      <c r="K309" s="34">
        <f>(Tabela14[[#This Row],[REGIÃO01-3%]]*0.06)+Tabela14[[#This Row],[REGIÃO01-3%]]</f>
        <v>0</v>
      </c>
      <c r="L309" s="34">
        <f>(Tabela14[[#This Row],[PRECO 3%]]*0.05)+Tabela14[[#This Row],[PRECO 3%]]</f>
        <v>10.625579999999998</v>
      </c>
      <c r="M309" s="34">
        <f>(Tabela14[[#This Row],[REGIÃO02 - 3%]]*0.06)+Tabela14[[#This Row],[REGIÃO02 - 3%]]</f>
        <v>11.263114799999997</v>
      </c>
      <c r="N309" s="34">
        <f>(Tabela14[[#This Row],[PRECO 3%]]*0.08)+Tabela14[[#This Row],[PRECO 3%]]</f>
        <v>10.929167999999999</v>
      </c>
      <c r="O309" s="34">
        <f>(Tabela14[[#This Row],[REGIÃO03-3%]]*0.06)+Tabela14[[#This Row],[REGIÃO03-3%]]</f>
        <v>11.58491808</v>
      </c>
      <c r="P309" s="34">
        <f>(Tabela14[[#This Row],[PRECO 3%]]*0.06)+Tabela14[[#This Row],[PRECO 3%]]</f>
        <v>10.726775999999997</v>
      </c>
      <c r="Q309" s="34">
        <f>(Tabela14[[#This Row],[REGIÃO04-3%]]*0.06)+Tabela14[[#This Row],[REGIÃO04-3%]]</f>
        <v>11.370382559999998</v>
      </c>
    </row>
    <row r="310" spans="1:17" x14ac:dyDescent="0.25">
      <c r="A310">
        <v>1664</v>
      </c>
      <c r="B310" t="s">
        <v>27</v>
      </c>
      <c r="C310" t="s">
        <v>55</v>
      </c>
      <c r="D310" t="s">
        <v>61</v>
      </c>
      <c r="E310" s="1" t="s">
        <v>322</v>
      </c>
      <c r="F310" t="e">
        <f>VLOOKUP(Tabela14[[#This Row],[ID_COD]],Tabela2[],6,0)</f>
        <v>#N/A</v>
      </c>
      <c r="G310" t="s">
        <v>105</v>
      </c>
      <c r="H310" s="2">
        <v>12.03</v>
      </c>
      <c r="I310" s="34">
        <f>Tabela14[[#This Row],[PRECO 3%]]+(Tabela14[[#This Row],[PRECO 3%]]*0.06)</f>
        <v>12.751799999999999</v>
      </c>
      <c r="J310" s="34"/>
      <c r="K310" s="34">
        <f>(Tabela14[[#This Row],[REGIÃO01-3%]]*0.06)+Tabela14[[#This Row],[REGIÃO01-3%]]</f>
        <v>0</v>
      </c>
      <c r="L310" s="34">
        <f>(Tabela14[[#This Row],[PRECO 3%]]*0.05)+Tabela14[[#This Row],[PRECO 3%]]</f>
        <v>12.631499999999999</v>
      </c>
      <c r="M310" s="34">
        <f>(Tabela14[[#This Row],[REGIÃO02 - 3%]]*0.06)+Tabela14[[#This Row],[REGIÃO02 - 3%]]</f>
        <v>13.389389999999999</v>
      </c>
      <c r="N310" s="34">
        <f>(Tabela14[[#This Row],[PRECO 3%]]*0.08)+Tabela14[[#This Row],[PRECO 3%]]</f>
        <v>12.9924</v>
      </c>
      <c r="O310" s="34">
        <f>(Tabela14[[#This Row],[REGIÃO03-3%]]*0.06)+Tabela14[[#This Row],[REGIÃO03-3%]]</f>
        <v>13.771944</v>
      </c>
      <c r="P310" s="34">
        <f>(Tabela14[[#This Row],[PRECO 3%]]*0.06)+Tabela14[[#This Row],[PRECO 3%]]</f>
        <v>12.751799999999999</v>
      </c>
      <c r="Q310" s="34">
        <f>(Tabela14[[#This Row],[REGIÃO04-3%]]*0.06)+Tabela14[[#This Row],[REGIÃO04-3%]]</f>
        <v>13.516907999999999</v>
      </c>
    </row>
    <row r="311" spans="1:17" x14ac:dyDescent="0.25">
      <c r="A311" s="6">
        <v>1664</v>
      </c>
      <c r="B311" s="6" t="s">
        <v>370</v>
      </c>
      <c r="C311" s="6" t="s">
        <v>390</v>
      </c>
      <c r="D311" s="6" t="s">
        <v>372</v>
      </c>
      <c r="E311" s="1" t="s">
        <v>391</v>
      </c>
      <c r="F311" t="s">
        <v>417</v>
      </c>
      <c r="H311" s="22">
        <v>12.9924</v>
      </c>
      <c r="I311" s="34">
        <f>Tabela14[[#This Row],[PRECO 3%]]+(Tabela14[[#This Row],[PRECO 3%]]*0.06)</f>
        <v>13.771944</v>
      </c>
      <c r="J311" s="34"/>
      <c r="K311" s="34">
        <f>(Tabela14[[#This Row],[REGIÃO01-3%]]*0.06)+Tabela14[[#This Row],[REGIÃO01-3%]]</f>
        <v>0</v>
      </c>
      <c r="L311" s="34">
        <f>(Tabela14[[#This Row],[PRECO 3%]]*0.05)+Tabela14[[#This Row],[PRECO 3%]]</f>
        <v>13.64202</v>
      </c>
      <c r="M311" s="34">
        <f>(Tabela14[[#This Row],[REGIÃO02 - 3%]]*0.06)+Tabela14[[#This Row],[REGIÃO02 - 3%]]</f>
        <v>14.4605412</v>
      </c>
      <c r="N311" s="34">
        <f>(Tabela14[[#This Row],[PRECO 3%]]*0.08)+Tabela14[[#This Row],[PRECO 3%]]</f>
        <v>14.031791999999999</v>
      </c>
      <c r="O311" s="34">
        <f>(Tabela14[[#This Row],[REGIÃO03-3%]]*0.06)+Tabela14[[#This Row],[REGIÃO03-3%]]</f>
        <v>14.873699519999999</v>
      </c>
      <c r="P311" s="34">
        <f>(Tabela14[[#This Row],[PRECO 3%]]*0.06)+Tabela14[[#This Row],[PRECO 3%]]</f>
        <v>13.771944</v>
      </c>
      <c r="Q311" s="34">
        <f>(Tabela14[[#This Row],[REGIÃO04-3%]]*0.06)+Tabela14[[#This Row],[REGIÃO04-3%]]</f>
        <v>14.598260639999999</v>
      </c>
    </row>
    <row r="312" spans="1:17" x14ac:dyDescent="0.25">
      <c r="A312">
        <v>1665</v>
      </c>
      <c r="B312" t="s">
        <v>27</v>
      </c>
      <c r="C312" t="s">
        <v>57</v>
      </c>
      <c r="D312" t="s">
        <v>61</v>
      </c>
      <c r="E312" s="1" t="s">
        <v>322</v>
      </c>
      <c r="F312" t="e">
        <f>VLOOKUP(Tabela14[[#This Row],[ID_COD]],Tabela2[],6,0)</f>
        <v>#N/A</v>
      </c>
      <c r="G312" t="s">
        <v>161</v>
      </c>
      <c r="H312" s="2">
        <v>17.34</v>
      </c>
      <c r="I312" s="34">
        <f>Tabela14[[#This Row],[PRECO 3%]]+(Tabela14[[#This Row],[PRECO 3%]]*0.06)</f>
        <v>18.380400000000002</v>
      </c>
      <c r="J312" s="34"/>
      <c r="K312" s="34">
        <f>(Tabela14[[#This Row],[REGIÃO01-3%]]*0.06)+Tabela14[[#This Row],[REGIÃO01-3%]]</f>
        <v>0</v>
      </c>
      <c r="L312" s="34">
        <f>(Tabela14[[#This Row],[PRECO 3%]]*0.05)+Tabela14[[#This Row],[PRECO 3%]]</f>
        <v>18.207000000000001</v>
      </c>
      <c r="M312" s="34">
        <f>(Tabela14[[#This Row],[REGIÃO02 - 3%]]*0.06)+Tabela14[[#This Row],[REGIÃO02 - 3%]]</f>
        <v>19.299420000000001</v>
      </c>
      <c r="N312" s="34">
        <f>(Tabela14[[#This Row],[PRECO 3%]]*0.08)+Tabela14[[#This Row],[PRECO 3%]]</f>
        <v>18.7272</v>
      </c>
      <c r="O312" s="34">
        <f>(Tabela14[[#This Row],[REGIÃO03-3%]]*0.06)+Tabela14[[#This Row],[REGIÃO03-3%]]</f>
        <v>19.850832</v>
      </c>
      <c r="P312" s="34">
        <f>(Tabela14[[#This Row],[PRECO 3%]]*0.06)+Tabela14[[#This Row],[PRECO 3%]]</f>
        <v>18.380400000000002</v>
      </c>
      <c r="Q312" s="34">
        <f>(Tabela14[[#This Row],[REGIÃO04-3%]]*0.06)+Tabela14[[#This Row],[REGIÃO04-3%]]</f>
        <v>19.483224</v>
      </c>
    </row>
    <row r="313" spans="1:17" x14ac:dyDescent="0.25">
      <c r="A313" s="6">
        <v>1665</v>
      </c>
      <c r="B313" s="6" t="s">
        <v>370</v>
      </c>
      <c r="C313" s="6" t="s">
        <v>392</v>
      </c>
      <c r="D313" s="6" t="s">
        <v>372</v>
      </c>
      <c r="E313" s="1" t="s">
        <v>426</v>
      </c>
      <c r="F313" t="s">
        <v>417</v>
      </c>
      <c r="H313" s="22">
        <v>18.7272</v>
      </c>
      <c r="I313" s="34">
        <f>Tabela14[[#This Row],[PRECO 3%]]+(Tabela14[[#This Row],[PRECO 3%]]*0.06)</f>
        <v>19.850832</v>
      </c>
      <c r="J313" s="34"/>
      <c r="K313" s="34">
        <f>(Tabela14[[#This Row],[REGIÃO01-3%]]*0.06)+Tabela14[[#This Row],[REGIÃO01-3%]]</f>
        <v>0</v>
      </c>
      <c r="L313" s="34">
        <f>(Tabela14[[#This Row],[PRECO 3%]]*0.05)+Tabela14[[#This Row],[PRECO 3%]]</f>
        <v>19.66356</v>
      </c>
      <c r="M313" s="34">
        <f>(Tabela14[[#This Row],[REGIÃO02 - 3%]]*0.06)+Tabela14[[#This Row],[REGIÃO02 - 3%]]</f>
        <v>20.8433736</v>
      </c>
      <c r="N313" s="34">
        <f>(Tabela14[[#This Row],[PRECO 3%]]*0.08)+Tabela14[[#This Row],[PRECO 3%]]</f>
        <v>20.225376000000001</v>
      </c>
      <c r="O313" s="34">
        <f>(Tabela14[[#This Row],[REGIÃO03-3%]]*0.06)+Tabela14[[#This Row],[REGIÃO03-3%]]</f>
        <v>21.438898560000002</v>
      </c>
      <c r="P313" s="34">
        <f>(Tabela14[[#This Row],[PRECO 3%]]*0.06)+Tabela14[[#This Row],[PRECO 3%]]</f>
        <v>19.850832</v>
      </c>
      <c r="Q313" s="34">
        <f>(Tabela14[[#This Row],[REGIÃO04-3%]]*0.06)+Tabela14[[#This Row],[REGIÃO04-3%]]</f>
        <v>21.041881920000002</v>
      </c>
    </row>
    <row r="314" spans="1:17" x14ac:dyDescent="0.25">
      <c r="A314">
        <v>1666</v>
      </c>
      <c r="B314" t="s">
        <v>62</v>
      </c>
      <c r="C314" t="s">
        <v>30</v>
      </c>
      <c r="D314" t="s">
        <v>60</v>
      </c>
      <c r="E314" s="1" t="s">
        <v>322</v>
      </c>
      <c r="F314" t="e">
        <f>VLOOKUP(Tabela14[[#This Row],[ID_COD]],Tabela2[],6,0)</f>
        <v>#N/A</v>
      </c>
      <c r="G314" t="s">
        <v>69</v>
      </c>
      <c r="H314" s="2">
        <v>3.97</v>
      </c>
      <c r="I314" s="34">
        <f>Tabela14[[#This Row],[PRECO 3%]]+(Tabela14[[#This Row],[PRECO 3%]]*0.06)</f>
        <v>4.2082000000000006</v>
      </c>
      <c r="J314" s="34"/>
      <c r="K314" s="34">
        <f>(Tabela14[[#This Row],[REGIÃO01-3%]]*0.06)+Tabela14[[#This Row],[REGIÃO01-3%]]</f>
        <v>0</v>
      </c>
      <c r="L314" s="34">
        <f>(Tabela14[[#This Row],[PRECO 3%]]*0.05)+Tabela14[[#This Row],[PRECO 3%]]</f>
        <v>4.1684999999999999</v>
      </c>
      <c r="M314" s="34">
        <f>(Tabela14[[#This Row],[REGIÃO02 - 3%]]*0.06)+Tabela14[[#This Row],[REGIÃO02 - 3%]]</f>
        <v>4.4186100000000001</v>
      </c>
      <c r="N314" s="34">
        <f>(Tabela14[[#This Row],[PRECO 3%]]*0.08)+Tabela14[[#This Row],[PRECO 3%]]</f>
        <v>4.2876000000000003</v>
      </c>
      <c r="O314" s="34">
        <f>(Tabela14[[#This Row],[REGIÃO03-3%]]*0.06)+Tabela14[[#This Row],[REGIÃO03-3%]]</f>
        <v>4.5448560000000002</v>
      </c>
      <c r="P314" s="34">
        <f>(Tabela14[[#This Row],[PRECO 3%]]*0.06)+Tabela14[[#This Row],[PRECO 3%]]</f>
        <v>4.2082000000000006</v>
      </c>
      <c r="Q314" s="34">
        <f>(Tabela14[[#This Row],[REGIÃO04-3%]]*0.06)+Tabela14[[#This Row],[REGIÃO04-3%]]</f>
        <v>4.4606920000000008</v>
      </c>
    </row>
    <row r="315" spans="1:17" x14ac:dyDescent="0.25">
      <c r="A315">
        <v>1667</v>
      </c>
      <c r="B315" t="s">
        <v>62</v>
      </c>
      <c r="C315" t="s">
        <v>31</v>
      </c>
      <c r="D315" t="s">
        <v>60</v>
      </c>
      <c r="E315" s="1" t="s">
        <v>322</v>
      </c>
      <c r="F315" t="e">
        <f>VLOOKUP(Tabela14[[#This Row],[ID_COD]],Tabela2[],6,0)</f>
        <v>#N/A</v>
      </c>
      <c r="G315" t="s">
        <v>124</v>
      </c>
      <c r="H315" s="2">
        <v>4.91</v>
      </c>
      <c r="I315" s="34">
        <f>Tabela14[[#This Row],[PRECO 3%]]+(Tabela14[[#This Row],[PRECO 3%]]*0.06)</f>
        <v>5.2046000000000001</v>
      </c>
      <c r="J315" s="34"/>
      <c r="K315" s="34">
        <f>(Tabela14[[#This Row],[REGIÃO01-3%]]*0.06)+Tabela14[[#This Row],[REGIÃO01-3%]]</f>
        <v>0</v>
      </c>
      <c r="L315" s="34">
        <f>(Tabela14[[#This Row],[PRECO 3%]]*0.05)+Tabela14[[#This Row],[PRECO 3%]]</f>
        <v>5.1555</v>
      </c>
      <c r="M315" s="34">
        <f>(Tabela14[[#This Row],[REGIÃO02 - 3%]]*0.06)+Tabela14[[#This Row],[REGIÃO02 - 3%]]</f>
        <v>5.4648300000000001</v>
      </c>
      <c r="N315" s="34">
        <f>(Tabela14[[#This Row],[PRECO 3%]]*0.08)+Tabela14[[#This Row],[PRECO 3%]]</f>
        <v>5.3028000000000004</v>
      </c>
      <c r="O315" s="34">
        <f>(Tabela14[[#This Row],[REGIÃO03-3%]]*0.06)+Tabela14[[#This Row],[REGIÃO03-3%]]</f>
        <v>5.6209680000000004</v>
      </c>
      <c r="P315" s="34">
        <f>(Tabela14[[#This Row],[PRECO 3%]]*0.06)+Tabela14[[#This Row],[PRECO 3%]]</f>
        <v>5.2046000000000001</v>
      </c>
      <c r="Q315" s="34">
        <f>(Tabela14[[#This Row],[REGIÃO04-3%]]*0.06)+Tabela14[[#This Row],[REGIÃO04-3%]]</f>
        <v>5.5168759999999999</v>
      </c>
    </row>
    <row r="316" spans="1:17" x14ac:dyDescent="0.25">
      <c r="A316">
        <v>1668</v>
      </c>
      <c r="B316" t="s">
        <v>62</v>
      </c>
      <c r="C316" t="s">
        <v>32</v>
      </c>
      <c r="D316" t="s">
        <v>60</v>
      </c>
      <c r="E316" s="1" t="s">
        <v>322</v>
      </c>
      <c r="F316" t="e">
        <f>VLOOKUP(Tabela14[[#This Row],[ID_COD]],Tabela2[],6,0)</f>
        <v>#N/A</v>
      </c>
      <c r="G316" t="s">
        <v>80</v>
      </c>
      <c r="H316" s="2">
        <v>5.63</v>
      </c>
      <c r="I316" s="34">
        <f>Tabela14[[#This Row],[PRECO 3%]]+(Tabela14[[#This Row],[PRECO 3%]]*0.06)</f>
        <v>5.9677999999999995</v>
      </c>
      <c r="J316" s="34"/>
      <c r="K316" s="34">
        <f>(Tabela14[[#This Row],[REGIÃO01-3%]]*0.06)+Tabela14[[#This Row],[REGIÃO01-3%]]</f>
        <v>0</v>
      </c>
      <c r="L316" s="34">
        <f>(Tabela14[[#This Row],[PRECO 3%]]*0.05)+Tabela14[[#This Row],[PRECO 3%]]</f>
        <v>5.9115000000000002</v>
      </c>
      <c r="M316" s="34">
        <f>(Tabela14[[#This Row],[REGIÃO02 - 3%]]*0.06)+Tabela14[[#This Row],[REGIÃO02 - 3%]]</f>
        <v>6.2661899999999999</v>
      </c>
      <c r="N316" s="34">
        <f>(Tabela14[[#This Row],[PRECO 3%]]*0.08)+Tabela14[[#This Row],[PRECO 3%]]</f>
        <v>6.0804</v>
      </c>
      <c r="O316" s="34">
        <f>(Tabela14[[#This Row],[REGIÃO03-3%]]*0.06)+Tabela14[[#This Row],[REGIÃO03-3%]]</f>
        <v>6.4452239999999996</v>
      </c>
      <c r="P316" s="34">
        <f>(Tabela14[[#This Row],[PRECO 3%]]*0.06)+Tabela14[[#This Row],[PRECO 3%]]</f>
        <v>5.9677999999999995</v>
      </c>
      <c r="Q316" s="34">
        <f>(Tabela14[[#This Row],[REGIÃO04-3%]]*0.06)+Tabela14[[#This Row],[REGIÃO04-3%]]</f>
        <v>6.3258679999999998</v>
      </c>
    </row>
    <row r="317" spans="1:17" x14ac:dyDescent="0.25">
      <c r="A317">
        <v>1669</v>
      </c>
      <c r="B317" t="s">
        <v>62</v>
      </c>
      <c r="C317" t="s">
        <v>33</v>
      </c>
      <c r="D317" t="s">
        <v>60</v>
      </c>
      <c r="E317" s="1" t="s">
        <v>322</v>
      </c>
      <c r="F317" t="e">
        <f>VLOOKUP(Tabela14[[#This Row],[ID_COD]],Tabela2[],6,0)</f>
        <v>#N/A</v>
      </c>
      <c r="G317" t="s">
        <v>87</v>
      </c>
      <c r="H317" s="2">
        <v>7.25</v>
      </c>
      <c r="I317" s="34">
        <f>Tabela14[[#This Row],[PRECO 3%]]+(Tabela14[[#This Row],[PRECO 3%]]*0.06)</f>
        <v>7.6849999999999996</v>
      </c>
      <c r="J317" s="34"/>
      <c r="K317" s="34">
        <f>(Tabela14[[#This Row],[REGIÃO01-3%]]*0.06)+Tabela14[[#This Row],[REGIÃO01-3%]]</f>
        <v>0</v>
      </c>
      <c r="L317" s="34">
        <f>(Tabela14[[#This Row],[PRECO 3%]]*0.05)+Tabela14[[#This Row],[PRECO 3%]]</f>
        <v>7.6124999999999998</v>
      </c>
      <c r="M317" s="34">
        <f>(Tabela14[[#This Row],[REGIÃO02 - 3%]]*0.06)+Tabela14[[#This Row],[REGIÃO02 - 3%]]</f>
        <v>8.0692500000000003</v>
      </c>
      <c r="N317" s="34">
        <f>(Tabela14[[#This Row],[PRECO 3%]]*0.08)+Tabela14[[#This Row],[PRECO 3%]]</f>
        <v>7.83</v>
      </c>
      <c r="O317" s="34">
        <f>(Tabela14[[#This Row],[REGIÃO03-3%]]*0.06)+Tabela14[[#This Row],[REGIÃO03-3%]]</f>
        <v>8.2997999999999994</v>
      </c>
      <c r="P317" s="34">
        <f>(Tabela14[[#This Row],[PRECO 3%]]*0.06)+Tabela14[[#This Row],[PRECO 3%]]</f>
        <v>7.6849999999999996</v>
      </c>
      <c r="Q317" s="34">
        <f>(Tabela14[[#This Row],[REGIÃO04-3%]]*0.06)+Tabela14[[#This Row],[REGIÃO04-3%]]</f>
        <v>8.1460999999999988</v>
      </c>
    </row>
    <row r="318" spans="1:17" x14ac:dyDescent="0.25">
      <c r="A318">
        <v>1670</v>
      </c>
      <c r="B318" t="s">
        <v>62</v>
      </c>
      <c r="C318" t="s">
        <v>35</v>
      </c>
      <c r="D318" t="s">
        <v>60</v>
      </c>
      <c r="E318" s="1" t="s">
        <v>322</v>
      </c>
      <c r="F318" t="e">
        <f>VLOOKUP(Tabela14[[#This Row],[ID_COD]],Tabela2[],6,0)</f>
        <v>#N/A</v>
      </c>
      <c r="G318" t="s">
        <v>96</v>
      </c>
      <c r="H318" s="2">
        <v>10.74</v>
      </c>
      <c r="I318" s="34">
        <f>Tabela14[[#This Row],[PRECO 3%]]+(Tabela14[[#This Row],[PRECO 3%]]*0.06)</f>
        <v>11.384399999999999</v>
      </c>
      <c r="J318" s="34"/>
      <c r="K318" s="34">
        <f>(Tabela14[[#This Row],[REGIÃO01-3%]]*0.06)+Tabela14[[#This Row],[REGIÃO01-3%]]</f>
        <v>0</v>
      </c>
      <c r="L318" s="34">
        <f>(Tabela14[[#This Row],[PRECO 3%]]*0.05)+Tabela14[[#This Row],[PRECO 3%]]</f>
        <v>11.277000000000001</v>
      </c>
      <c r="M318" s="34">
        <f>(Tabela14[[#This Row],[REGIÃO02 - 3%]]*0.06)+Tabela14[[#This Row],[REGIÃO02 - 3%]]</f>
        <v>11.953620000000001</v>
      </c>
      <c r="N318" s="34">
        <f>(Tabela14[[#This Row],[PRECO 3%]]*0.08)+Tabela14[[#This Row],[PRECO 3%]]</f>
        <v>11.5992</v>
      </c>
      <c r="O318" s="34">
        <f>(Tabela14[[#This Row],[REGIÃO03-3%]]*0.06)+Tabela14[[#This Row],[REGIÃO03-3%]]</f>
        <v>12.295152</v>
      </c>
      <c r="P318" s="34">
        <f>(Tabela14[[#This Row],[PRECO 3%]]*0.06)+Tabela14[[#This Row],[PRECO 3%]]</f>
        <v>11.384399999999999</v>
      </c>
      <c r="Q318" s="34">
        <f>(Tabela14[[#This Row],[REGIÃO04-3%]]*0.06)+Tabela14[[#This Row],[REGIÃO04-3%]]</f>
        <v>12.067463999999999</v>
      </c>
    </row>
    <row r="319" spans="1:17" x14ac:dyDescent="0.25">
      <c r="A319">
        <v>1671</v>
      </c>
      <c r="B319" t="s">
        <v>62</v>
      </c>
      <c r="C319" t="s">
        <v>37</v>
      </c>
      <c r="D319" t="s">
        <v>60</v>
      </c>
      <c r="E319" s="1" t="s">
        <v>322</v>
      </c>
      <c r="F319" t="e">
        <f>VLOOKUP(Tabela14[[#This Row],[ID_COD]],Tabela2[],6,0)</f>
        <v>#N/A</v>
      </c>
      <c r="G319" t="s">
        <v>71</v>
      </c>
      <c r="H319" s="2">
        <v>5.38</v>
      </c>
      <c r="I319" s="34">
        <f>Tabela14[[#This Row],[PRECO 3%]]+(Tabela14[[#This Row],[PRECO 3%]]*0.06)</f>
        <v>5.7027999999999999</v>
      </c>
      <c r="J319" s="34"/>
      <c r="K319" s="34">
        <f>(Tabela14[[#This Row],[REGIÃO01-3%]]*0.06)+Tabela14[[#This Row],[REGIÃO01-3%]]</f>
        <v>0</v>
      </c>
      <c r="L319" s="34">
        <f>(Tabela14[[#This Row],[PRECO 3%]]*0.05)+Tabela14[[#This Row],[PRECO 3%]]</f>
        <v>5.649</v>
      </c>
      <c r="M319" s="34">
        <f>(Tabela14[[#This Row],[REGIÃO02 - 3%]]*0.06)+Tabela14[[#This Row],[REGIÃO02 - 3%]]</f>
        <v>5.98794</v>
      </c>
      <c r="N319" s="34">
        <f>(Tabela14[[#This Row],[PRECO 3%]]*0.08)+Tabela14[[#This Row],[PRECO 3%]]</f>
        <v>5.8103999999999996</v>
      </c>
      <c r="O319" s="34">
        <f>(Tabela14[[#This Row],[REGIÃO03-3%]]*0.06)+Tabela14[[#This Row],[REGIÃO03-3%]]</f>
        <v>6.1590239999999996</v>
      </c>
      <c r="P319" s="34">
        <f>(Tabela14[[#This Row],[PRECO 3%]]*0.06)+Tabela14[[#This Row],[PRECO 3%]]</f>
        <v>5.7027999999999999</v>
      </c>
      <c r="Q319" s="34">
        <f>(Tabela14[[#This Row],[REGIÃO04-3%]]*0.06)+Tabela14[[#This Row],[REGIÃO04-3%]]</f>
        <v>6.0449679999999999</v>
      </c>
    </row>
    <row r="320" spans="1:17" x14ac:dyDescent="0.25">
      <c r="A320">
        <v>1672</v>
      </c>
      <c r="B320" t="s">
        <v>62</v>
      </c>
      <c r="C320" t="s">
        <v>38</v>
      </c>
      <c r="D320" t="s">
        <v>60</v>
      </c>
      <c r="E320" s="1" t="s">
        <v>322</v>
      </c>
      <c r="F320" t="e">
        <f>VLOOKUP(Tabela14[[#This Row],[ID_COD]],Tabela2[],6,0)</f>
        <v>#N/A</v>
      </c>
      <c r="G320" t="s">
        <v>77</v>
      </c>
      <c r="H320" s="2">
        <v>6.78</v>
      </c>
      <c r="I320" s="34">
        <f>Tabela14[[#This Row],[PRECO 3%]]+(Tabela14[[#This Row],[PRECO 3%]]*0.06)</f>
        <v>7.1867999999999999</v>
      </c>
      <c r="J320" s="34"/>
      <c r="K320" s="34">
        <f>(Tabela14[[#This Row],[REGIÃO01-3%]]*0.06)+Tabela14[[#This Row],[REGIÃO01-3%]]</f>
        <v>0</v>
      </c>
      <c r="L320" s="34">
        <f>(Tabela14[[#This Row],[PRECO 3%]]*0.05)+Tabela14[[#This Row],[PRECO 3%]]</f>
        <v>7.1190000000000007</v>
      </c>
      <c r="M320" s="34">
        <f>(Tabela14[[#This Row],[REGIÃO02 - 3%]]*0.06)+Tabela14[[#This Row],[REGIÃO02 - 3%]]</f>
        <v>7.5461400000000003</v>
      </c>
      <c r="N320" s="34">
        <f>(Tabela14[[#This Row],[PRECO 3%]]*0.08)+Tabela14[[#This Row],[PRECO 3%]]</f>
        <v>7.3224</v>
      </c>
      <c r="O320" s="34">
        <f>(Tabela14[[#This Row],[REGIÃO03-3%]]*0.06)+Tabela14[[#This Row],[REGIÃO03-3%]]</f>
        <v>7.7617440000000002</v>
      </c>
      <c r="P320" s="34">
        <f>(Tabela14[[#This Row],[PRECO 3%]]*0.06)+Tabela14[[#This Row],[PRECO 3%]]</f>
        <v>7.1867999999999999</v>
      </c>
      <c r="Q320" s="34">
        <f>(Tabela14[[#This Row],[REGIÃO04-3%]]*0.06)+Tabela14[[#This Row],[REGIÃO04-3%]]</f>
        <v>7.6180079999999997</v>
      </c>
    </row>
    <row r="321" spans="1:17" x14ac:dyDescent="0.25">
      <c r="A321">
        <v>1673</v>
      </c>
      <c r="B321" t="s">
        <v>62</v>
      </c>
      <c r="C321" t="s">
        <v>39</v>
      </c>
      <c r="D321" t="s">
        <v>60</v>
      </c>
      <c r="E321" s="1" t="s">
        <v>322</v>
      </c>
      <c r="F321" t="e">
        <f>VLOOKUP(Tabela14[[#This Row],[ID_COD]],Tabela2[],6,0)</f>
        <v>#N/A</v>
      </c>
      <c r="G321" t="s">
        <v>83</v>
      </c>
      <c r="H321" s="2">
        <v>7.94</v>
      </c>
      <c r="I321" s="34">
        <f>Tabela14[[#This Row],[PRECO 3%]]+(Tabela14[[#This Row],[PRECO 3%]]*0.06)</f>
        <v>8.4164000000000012</v>
      </c>
      <c r="J321" s="34"/>
      <c r="K321" s="34">
        <f>(Tabela14[[#This Row],[REGIÃO01-3%]]*0.06)+Tabela14[[#This Row],[REGIÃO01-3%]]</f>
        <v>0</v>
      </c>
      <c r="L321" s="34">
        <f>(Tabela14[[#This Row],[PRECO 3%]]*0.05)+Tabela14[[#This Row],[PRECO 3%]]</f>
        <v>8.3369999999999997</v>
      </c>
      <c r="M321" s="34">
        <f>(Tabela14[[#This Row],[REGIÃO02 - 3%]]*0.06)+Tabela14[[#This Row],[REGIÃO02 - 3%]]</f>
        <v>8.8372200000000003</v>
      </c>
      <c r="N321" s="34">
        <f>(Tabela14[[#This Row],[PRECO 3%]]*0.08)+Tabela14[[#This Row],[PRECO 3%]]</f>
        <v>8.5752000000000006</v>
      </c>
      <c r="O321" s="34">
        <f>(Tabela14[[#This Row],[REGIÃO03-3%]]*0.06)+Tabela14[[#This Row],[REGIÃO03-3%]]</f>
        <v>9.0897120000000005</v>
      </c>
      <c r="P321" s="34">
        <f>(Tabela14[[#This Row],[PRECO 3%]]*0.06)+Tabela14[[#This Row],[PRECO 3%]]</f>
        <v>8.4164000000000012</v>
      </c>
      <c r="Q321" s="34">
        <f>(Tabela14[[#This Row],[REGIÃO04-3%]]*0.06)+Tabela14[[#This Row],[REGIÃO04-3%]]</f>
        <v>8.9213840000000015</v>
      </c>
    </row>
    <row r="322" spans="1:17" x14ac:dyDescent="0.25">
      <c r="A322">
        <v>1674</v>
      </c>
      <c r="B322" t="s">
        <v>62</v>
      </c>
      <c r="C322" t="s">
        <v>40</v>
      </c>
      <c r="D322" t="s">
        <v>60</v>
      </c>
      <c r="E322" s="1" t="s">
        <v>322</v>
      </c>
      <c r="F322" t="e">
        <f>VLOOKUP(Tabela14[[#This Row],[ID_COD]],Tabela2[],6,0)</f>
        <v>#N/A</v>
      </c>
      <c r="G322" t="s">
        <v>91</v>
      </c>
      <c r="H322" s="2">
        <v>10.3</v>
      </c>
      <c r="I322" s="34">
        <f>Tabela14[[#This Row],[PRECO 3%]]+(Tabela14[[#This Row],[PRECO 3%]]*0.06)</f>
        <v>10.918000000000001</v>
      </c>
      <c r="J322" s="34"/>
      <c r="K322" s="34">
        <f>(Tabela14[[#This Row],[REGIÃO01-3%]]*0.06)+Tabela14[[#This Row],[REGIÃO01-3%]]</f>
        <v>0</v>
      </c>
      <c r="L322" s="34">
        <f>(Tabela14[[#This Row],[PRECO 3%]]*0.05)+Tabela14[[#This Row],[PRECO 3%]]</f>
        <v>10.815000000000001</v>
      </c>
      <c r="M322" s="34">
        <f>(Tabela14[[#This Row],[REGIÃO02 - 3%]]*0.06)+Tabela14[[#This Row],[REGIÃO02 - 3%]]</f>
        <v>11.463900000000001</v>
      </c>
      <c r="N322" s="34">
        <f>(Tabela14[[#This Row],[PRECO 3%]]*0.08)+Tabela14[[#This Row],[PRECO 3%]]</f>
        <v>11.124000000000001</v>
      </c>
      <c r="O322" s="34">
        <f>(Tabela14[[#This Row],[REGIÃO03-3%]]*0.06)+Tabela14[[#This Row],[REGIÃO03-3%]]</f>
        <v>11.791440000000001</v>
      </c>
      <c r="P322" s="34">
        <f>(Tabela14[[#This Row],[PRECO 3%]]*0.06)+Tabela14[[#This Row],[PRECO 3%]]</f>
        <v>10.918000000000001</v>
      </c>
      <c r="Q322" s="34">
        <f>(Tabela14[[#This Row],[REGIÃO04-3%]]*0.06)+Tabela14[[#This Row],[REGIÃO04-3%]]</f>
        <v>11.573080000000001</v>
      </c>
    </row>
    <row r="323" spans="1:17" x14ac:dyDescent="0.25">
      <c r="A323">
        <v>1675</v>
      </c>
      <c r="B323" t="s">
        <v>62</v>
      </c>
      <c r="C323" t="s">
        <v>42</v>
      </c>
      <c r="D323" t="s">
        <v>60</v>
      </c>
      <c r="E323" s="1" t="s">
        <v>322</v>
      </c>
      <c r="F323" t="e">
        <f>VLOOKUP(Tabela14[[#This Row],[ID_COD]],Tabela2[],6,0)</f>
        <v>#N/A</v>
      </c>
      <c r="G323" t="s">
        <v>101</v>
      </c>
      <c r="H323" s="2">
        <v>14.74</v>
      </c>
      <c r="I323" s="34">
        <f>Tabela14[[#This Row],[PRECO 3%]]+(Tabela14[[#This Row],[PRECO 3%]]*0.06)</f>
        <v>15.6244</v>
      </c>
      <c r="J323" s="34"/>
      <c r="K323" s="34">
        <f>(Tabela14[[#This Row],[REGIÃO01-3%]]*0.06)+Tabela14[[#This Row],[REGIÃO01-3%]]</f>
        <v>0</v>
      </c>
      <c r="L323" s="34">
        <f>(Tabela14[[#This Row],[PRECO 3%]]*0.05)+Tabela14[[#This Row],[PRECO 3%]]</f>
        <v>15.477</v>
      </c>
      <c r="M323" s="34">
        <f>(Tabela14[[#This Row],[REGIÃO02 - 3%]]*0.06)+Tabela14[[#This Row],[REGIÃO02 - 3%]]</f>
        <v>16.405619999999999</v>
      </c>
      <c r="N323" s="34">
        <f>(Tabela14[[#This Row],[PRECO 3%]]*0.08)+Tabela14[[#This Row],[PRECO 3%]]</f>
        <v>15.9192</v>
      </c>
      <c r="O323" s="34">
        <f>(Tabela14[[#This Row],[REGIÃO03-3%]]*0.06)+Tabela14[[#This Row],[REGIÃO03-3%]]</f>
        <v>16.874352000000002</v>
      </c>
      <c r="P323" s="34">
        <f>(Tabela14[[#This Row],[PRECO 3%]]*0.06)+Tabela14[[#This Row],[PRECO 3%]]</f>
        <v>15.6244</v>
      </c>
      <c r="Q323" s="34">
        <f>(Tabela14[[#This Row],[REGIÃO04-3%]]*0.06)+Tabela14[[#This Row],[REGIÃO04-3%]]</f>
        <v>16.561864</v>
      </c>
    </row>
    <row r="324" spans="1:17" x14ac:dyDescent="0.25">
      <c r="A324">
        <v>1676</v>
      </c>
      <c r="B324" t="s">
        <v>62</v>
      </c>
      <c r="C324" t="s">
        <v>45</v>
      </c>
      <c r="D324" t="s">
        <v>61</v>
      </c>
      <c r="E324" s="1" t="s">
        <v>322</v>
      </c>
      <c r="F324" t="e">
        <f>VLOOKUP(Tabela14[[#This Row],[ID_COD]],Tabela2[],6,0)</f>
        <v>#N/A</v>
      </c>
      <c r="G324" t="s">
        <v>110</v>
      </c>
      <c r="H324" s="2">
        <v>4.6399999999999997</v>
      </c>
      <c r="I324" s="34">
        <f>Tabela14[[#This Row],[PRECO 3%]]+(Tabela14[[#This Row],[PRECO 3%]]*0.06)</f>
        <v>4.9184000000000001</v>
      </c>
      <c r="J324" s="34"/>
      <c r="K324" s="34">
        <f>(Tabela14[[#This Row],[REGIÃO01-3%]]*0.06)+Tabela14[[#This Row],[REGIÃO01-3%]]</f>
        <v>0</v>
      </c>
      <c r="L324" s="34">
        <f>(Tabela14[[#This Row],[PRECO 3%]]*0.05)+Tabela14[[#This Row],[PRECO 3%]]</f>
        <v>4.8719999999999999</v>
      </c>
      <c r="M324" s="34">
        <f>(Tabela14[[#This Row],[REGIÃO02 - 3%]]*0.06)+Tabela14[[#This Row],[REGIÃO02 - 3%]]</f>
        <v>5.16432</v>
      </c>
      <c r="N324" s="34">
        <f>(Tabela14[[#This Row],[PRECO 3%]]*0.08)+Tabela14[[#This Row],[PRECO 3%]]</f>
        <v>5.0111999999999997</v>
      </c>
      <c r="O324" s="34">
        <f>(Tabela14[[#This Row],[REGIÃO03-3%]]*0.06)+Tabela14[[#This Row],[REGIÃO03-3%]]</f>
        <v>5.3118719999999993</v>
      </c>
      <c r="P324" s="34">
        <f>(Tabela14[[#This Row],[PRECO 3%]]*0.06)+Tabela14[[#This Row],[PRECO 3%]]</f>
        <v>4.9184000000000001</v>
      </c>
      <c r="Q324" s="34">
        <f>(Tabela14[[#This Row],[REGIÃO04-3%]]*0.06)+Tabela14[[#This Row],[REGIÃO04-3%]]</f>
        <v>5.2135040000000004</v>
      </c>
    </row>
    <row r="325" spans="1:17" x14ac:dyDescent="0.25">
      <c r="A325">
        <v>1677</v>
      </c>
      <c r="B325" t="s">
        <v>62</v>
      </c>
      <c r="C325" t="s">
        <v>46</v>
      </c>
      <c r="D325" t="s">
        <v>61</v>
      </c>
      <c r="E325" s="1" t="s">
        <v>322</v>
      </c>
      <c r="F325" t="e">
        <f>VLOOKUP(Tabela14[[#This Row],[ID_COD]],Tabela2[],6,0)</f>
        <v>#N/A</v>
      </c>
      <c r="G325" t="s">
        <v>73</v>
      </c>
      <c r="H325" s="2">
        <v>5.74</v>
      </c>
      <c r="I325" s="34">
        <f>Tabela14[[#This Row],[PRECO 3%]]+(Tabela14[[#This Row],[PRECO 3%]]*0.06)</f>
        <v>6.0844000000000005</v>
      </c>
      <c r="J325" s="34"/>
      <c r="K325" s="34">
        <f>(Tabela14[[#This Row],[REGIÃO01-3%]]*0.06)+Tabela14[[#This Row],[REGIÃO01-3%]]</f>
        <v>0</v>
      </c>
      <c r="L325" s="34">
        <f>(Tabela14[[#This Row],[PRECO 3%]]*0.05)+Tabela14[[#This Row],[PRECO 3%]]</f>
        <v>6.0270000000000001</v>
      </c>
      <c r="M325" s="34">
        <f>(Tabela14[[#This Row],[REGIÃO02 - 3%]]*0.06)+Tabela14[[#This Row],[REGIÃO02 - 3%]]</f>
        <v>6.3886200000000004</v>
      </c>
      <c r="N325" s="34">
        <f>(Tabela14[[#This Row],[PRECO 3%]]*0.08)+Tabela14[[#This Row],[PRECO 3%]]</f>
        <v>6.1992000000000003</v>
      </c>
      <c r="O325" s="34">
        <f>(Tabela14[[#This Row],[REGIÃO03-3%]]*0.06)+Tabela14[[#This Row],[REGIÃO03-3%]]</f>
        <v>6.5711520000000005</v>
      </c>
      <c r="P325" s="34">
        <f>(Tabela14[[#This Row],[PRECO 3%]]*0.06)+Tabela14[[#This Row],[PRECO 3%]]</f>
        <v>6.0844000000000005</v>
      </c>
      <c r="Q325" s="34">
        <f>(Tabela14[[#This Row],[REGIÃO04-3%]]*0.06)+Tabela14[[#This Row],[REGIÃO04-3%]]</f>
        <v>6.4494640000000008</v>
      </c>
    </row>
    <row r="326" spans="1:17" x14ac:dyDescent="0.25">
      <c r="A326">
        <v>1678</v>
      </c>
      <c r="B326" t="s">
        <v>62</v>
      </c>
      <c r="C326" t="s">
        <v>47</v>
      </c>
      <c r="D326" t="s">
        <v>61</v>
      </c>
      <c r="E326" s="1" t="s">
        <v>322</v>
      </c>
      <c r="F326" t="e">
        <f>VLOOKUP(Tabela14[[#This Row],[ID_COD]],Tabela2[],6,0)</f>
        <v>#N/A</v>
      </c>
      <c r="G326" t="s">
        <v>135</v>
      </c>
      <c r="H326" s="2">
        <v>6.57</v>
      </c>
      <c r="I326" s="34">
        <f>Tabela14[[#This Row],[PRECO 3%]]+(Tabela14[[#This Row],[PRECO 3%]]*0.06)</f>
        <v>6.9641999999999999</v>
      </c>
      <c r="J326" s="34"/>
      <c r="K326" s="34">
        <f>(Tabela14[[#This Row],[REGIÃO01-3%]]*0.06)+Tabela14[[#This Row],[REGIÃO01-3%]]</f>
        <v>0</v>
      </c>
      <c r="L326" s="34">
        <f>(Tabela14[[#This Row],[PRECO 3%]]*0.05)+Tabela14[[#This Row],[PRECO 3%]]</f>
        <v>6.8985000000000003</v>
      </c>
      <c r="M326" s="34">
        <f>(Tabela14[[#This Row],[REGIÃO02 - 3%]]*0.06)+Tabela14[[#This Row],[REGIÃO02 - 3%]]</f>
        <v>7.3124099999999999</v>
      </c>
      <c r="N326" s="34">
        <f>(Tabela14[[#This Row],[PRECO 3%]]*0.08)+Tabela14[[#This Row],[PRECO 3%]]</f>
        <v>7.0956000000000001</v>
      </c>
      <c r="O326" s="34">
        <f>(Tabela14[[#This Row],[REGIÃO03-3%]]*0.06)+Tabela14[[#This Row],[REGIÃO03-3%]]</f>
        <v>7.5213359999999998</v>
      </c>
      <c r="P326" s="34">
        <f>(Tabela14[[#This Row],[PRECO 3%]]*0.06)+Tabela14[[#This Row],[PRECO 3%]]</f>
        <v>6.9641999999999999</v>
      </c>
      <c r="Q326" s="34">
        <f>(Tabela14[[#This Row],[REGIÃO04-3%]]*0.06)+Tabela14[[#This Row],[REGIÃO04-3%]]</f>
        <v>7.3820519999999998</v>
      </c>
    </row>
    <row r="327" spans="1:17" x14ac:dyDescent="0.25">
      <c r="A327">
        <v>1679</v>
      </c>
      <c r="B327" t="s">
        <v>62</v>
      </c>
      <c r="C327" t="s">
        <v>48</v>
      </c>
      <c r="D327" t="s">
        <v>61</v>
      </c>
      <c r="E327" s="1" t="s">
        <v>322</v>
      </c>
      <c r="F327" t="e">
        <f>VLOOKUP(Tabela14[[#This Row],[ID_COD]],Tabela2[],6,0)</f>
        <v>#N/A</v>
      </c>
      <c r="G327" t="s">
        <v>87</v>
      </c>
      <c r="H327" s="2">
        <v>8.4499999999999993</v>
      </c>
      <c r="I327" s="34">
        <f>Tabela14[[#This Row],[PRECO 3%]]+(Tabela14[[#This Row],[PRECO 3%]]*0.06)</f>
        <v>8.956999999999999</v>
      </c>
      <c r="J327" s="34"/>
      <c r="K327" s="34">
        <f>(Tabela14[[#This Row],[REGIÃO01-3%]]*0.06)+Tabela14[[#This Row],[REGIÃO01-3%]]</f>
        <v>0</v>
      </c>
      <c r="L327" s="34">
        <f>(Tabela14[[#This Row],[PRECO 3%]]*0.05)+Tabela14[[#This Row],[PRECO 3%]]</f>
        <v>8.8724999999999987</v>
      </c>
      <c r="M327" s="34">
        <f>(Tabela14[[#This Row],[REGIÃO02 - 3%]]*0.06)+Tabela14[[#This Row],[REGIÃO02 - 3%]]</f>
        <v>9.4048499999999979</v>
      </c>
      <c r="N327" s="34">
        <f>(Tabela14[[#This Row],[PRECO 3%]]*0.08)+Tabela14[[#This Row],[PRECO 3%]]</f>
        <v>9.1259999999999994</v>
      </c>
      <c r="O327" s="34">
        <f>(Tabela14[[#This Row],[REGIÃO03-3%]]*0.06)+Tabela14[[#This Row],[REGIÃO03-3%]]</f>
        <v>9.6735600000000002</v>
      </c>
      <c r="P327" s="34">
        <f>(Tabela14[[#This Row],[PRECO 3%]]*0.06)+Tabela14[[#This Row],[PRECO 3%]]</f>
        <v>8.956999999999999</v>
      </c>
      <c r="Q327" s="34">
        <f>(Tabela14[[#This Row],[REGIÃO04-3%]]*0.06)+Tabela14[[#This Row],[REGIÃO04-3%]]</f>
        <v>9.4944199999999981</v>
      </c>
    </row>
    <row r="328" spans="1:17" x14ac:dyDescent="0.25">
      <c r="A328">
        <v>1680</v>
      </c>
      <c r="B328" t="s">
        <v>62</v>
      </c>
      <c r="C328" t="s">
        <v>50</v>
      </c>
      <c r="D328" t="s">
        <v>61</v>
      </c>
      <c r="E328" s="1" t="s">
        <v>322</v>
      </c>
      <c r="F328" t="e">
        <f>VLOOKUP(Tabela14[[#This Row],[ID_COD]],Tabela2[],6,0)</f>
        <v>#N/A</v>
      </c>
      <c r="G328" t="s">
        <v>96</v>
      </c>
      <c r="H328" s="2">
        <v>12.58</v>
      </c>
      <c r="I328" s="34">
        <f>Tabela14[[#This Row],[PRECO 3%]]+(Tabela14[[#This Row],[PRECO 3%]]*0.06)</f>
        <v>13.3348</v>
      </c>
      <c r="J328" s="34"/>
      <c r="K328" s="34">
        <f>(Tabela14[[#This Row],[REGIÃO01-3%]]*0.06)+Tabela14[[#This Row],[REGIÃO01-3%]]</f>
        <v>0</v>
      </c>
      <c r="L328" s="34">
        <f>(Tabela14[[#This Row],[PRECO 3%]]*0.05)+Tabela14[[#This Row],[PRECO 3%]]</f>
        <v>13.209</v>
      </c>
      <c r="M328" s="34">
        <f>(Tabela14[[#This Row],[REGIÃO02 - 3%]]*0.06)+Tabela14[[#This Row],[REGIÃO02 - 3%]]</f>
        <v>14.00154</v>
      </c>
      <c r="N328" s="34">
        <f>(Tabela14[[#This Row],[PRECO 3%]]*0.08)+Tabela14[[#This Row],[PRECO 3%]]</f>
        <v>13.586399999999999</v>
      </c>
      <c r="O328" s="34">
        <f>(Tabela14[[#This Row],[REGIÃO03-3%]]*0.06)+Tabela14[[#This Row],[REGIÃO03-3%]]</f>
        <v>14.401584</v>
      </c>
      <c r="P328" s="34">
        <f>(Tabela14[[#This Row],[PRECO 3%]]*0.06)+Tabela14[[#This Row],[PRECO 3%]]</f>
        <v>13.3348</v>
      </c>
      <c r="Q328" s="34">
        <f>(Tabela14[[#This Row],[REGIÃO04-3%]]*0.06)+Tabela14[[#This Row],[REGIÃO04-3%]]</f>
        <v>14.134888</v>
      </c>
    </row>
    <row r="329" spans="1:17" x14ac:dyDescent="0.25">
      <c r="A329">
        <v>1681</v>
      </c>
      <c r="B329" t="s">
        <v>62</v>
      </c>
      <c r="C329" t="s">
        <v>52</v>
      </c>
      <c r="D329" t="s">
        <v>61</v>
      </c>
      <c r="E329" s="1" t="s">
        <v>322</v>
      </c>
      <c r="F329" t="e">
        <f>VLOOKUP(Tabela14[[#This Row],[ID_COD]],Tabela2[],6,0)</f>
        <v>#N/A</v>
      </c>
      <c r="G329" t="s">
        <v>116</v>
      </c>
      <c r="H329" s="2">
        <v>6.41</v>
      </c>
      <c r="I329" s="34">
        <f>Tabela14[[#This Row],[PRECO 3%]]+(Tabela14[[#This Row],[PRECO 3%]]*0.06)</f>
        <v>6.7946</v>
      </c>
      <c r="J329" s="34"/>
      <c r="K329" s="34">
        <f>(Tabela14[[#This Row],[REGIÃO01-3%]]*0.06)+Tabela14[[#This Row],[REGIÃO01-3%]]</f>
        <v>0</v>
      </c>
      <c r="L329" s="34">
        <f>(Tabela14[[#This Row],[PRECO 3%]]*0.05)+Tabela14[[#This Row],[PRECO 3%]]</f>
        <v>6.7305000000000001</v>
      </c>
      <c r="M329" s="34">
        <f>(Tabela14[[#This Row],[REGIÃO02 - 3%]]*0.06)+Tabela14[[#This Row],[REGIÃO02 - 3%]]</f>
        <v>7.1343300000000003</v>
      </c>
      <c r="N329" s="34">
        <f>(Tabela14[[#This Row],[PRECO 3%]]*0.08)+Tabela14[[#This Row],[PRECO 3%]]</f>
        <v>6.9228000000000005</v>
      </c>
      <c r="O329" s="34">
        <f>(Tabela14[[#This Row],[REGIÃO03-3%]]*0.06)+Tabela14[[#This Row],[REGIÃO03-3%]]</f>
        <v>7.3381680000000005</v>
      </c>
      <c r="P329" s="34">
        <f>(Tabela14[[#This Row],[PRECO 3%]]*0.06)+Tabela14[[#This Row],[PRECO 3%]]</f>
        <v>6.7946</v>
      </c>
      <c r="Q329" s="34">
        <f>(Tabela14[[#This Row],[REGIÃO04-3%]]*0.06)+Tabela14[[#This Row],[REGIÃO04-3%]]</f>
        <v>7.2022760000000003</v>
      </c>
    </row>
    <row r="330" spans="1:17" x14ac:dyDescent="0.25">
      <c r="A330">
        <v>1682</v>
      </c>
      <c r="B330" t="s">
        <v>62</v>
      </c>
      <c r="C330" t="s">
        <v>53</v>
      </c>
      <c r="D330" t="s">
        <v>61</v>
      </c>
      <c r="E330" s="1" t="s">
        <v>322</v>
      </c>
      <c r="F330" t="e">
        <f>VLOOKUP(Tabela14[[#This Row],[ID_COD]],Tabela2[],6,0)</f>
        <v>#N/A</v>
      </c>
      <c r="G330" t="s">
        <v>129</v>
      </c>
      <c r="H330" s="2">
        <v>7.92</v>
      </c>
      <c r="I330" s="34">
        <f>Tabela14[[#This Row],[PRECO 3%]]+(Tabela14[[#This Row],[PRECO 3%]]*0.06)</f>
        <v>8.3951999999999991</v>
      </c>
      <c r="J330" s="34"/>
      <c r="K330" s="34">
        <f>(Tabela14[[#This Row],[REGIÃO01-3%]]*0.06)+Tabela14[[#This Row],[REGIÃO01-3%]]</f>
        <v>0</v>
      </c>
      <c r="L330" s="34">
        <f>(Tabela14[[#This Row],[PRECO 3%]]*0.05)+Tabela14[[#This Row],[PRECO 3%]]</f>
        <v>8.3160000000000007</v>
      </c>
      <c r="M330" s="34">
        <f>(Tabela14[[#This Row],[REGIÃO02 - 3%]]*0.06)+Tabela14[[#This Row],[REGIÃO02 - 3%]]</f>
        <v>8.814960000000001</v>
      </c>
      <c r="N330" s="34">
        <f>(Tabela14[[#This Row],[PRECO 3%]]*0.08)+Tabela14[[#This Row],[PRECO 3%]]</f>
        <v>8.5535999999999994</v>
      </c>
      <c r="O330" s="34">
        <f>(Tabela14[[#This Row],[REGIÃO03-3%]]*0.06)+Tabela14[[#This Row],[REGIÃO03-3%]]</f>
        <v>9.0668159999999993</v>
      </c>
      <c r="P330" s="34">
        <f>(Tabela14[[#This Row],[PRECO 3%]]*0.06)+Tabela14[[#This Row],[PRECO 3%]]</f>
        <v>8.3951999999999991</v>
      </c>
      <c r="Q330" s="34">
        <f>(Tabela14[[#This Row],[REGIÃO04-3%]]*0.06)+Tabela14[[#This Row],[REGIÃO04-3%]]</f>
        <v>8.8989119999999993</v>
      </c>
    </row>
    <row r="331" spans="1:17" x14ac:dyDescent="0.25">
      <c r="A331">
        <v>1683</v>
      </c>
      <c r="B331" t="s">
        <v>62</v>
      </c>
      <c r="C331" t="s">
        <v>54</v>
      </c>
      <c r="D331" t="s">
        <v>61</v>
      </c>
      <c r="E331" s="1" t="s">
        <v>322</v>
      </c>
      <c r="F331" t="e">
        <f>VLOOKUP(Tabela14[[#This Row],[ID_COD]],Tabela2[],6,0)</f>
        <v>#N/A</v>
      </c>
      <c r="G331" t="s">
        <v>143</v>
      </c>
      <c r="H331" s="2">
        <v>9.3699999999999992</v>
      </c>
      <c r="I331" s="34">
        <f>Tabela14[[#This Row],[PRECO 3%]]+(Tabela14[[#This Row],[PRECO 3%]]*0.06)</f>
        <v>9.9321999999999999</v>
      </c>
      <c r="J331" s="34"/>
      <c r="K331" s="34">
        <f>(Tabela14[[#This Row],[REGIÃO01-3%]]*0.06)+Tabela14[[#This Row],[REGIÃO01-3%]]</f>
        <v>0</v>
      </c>
      <c r="L331" s="34">
        <f>(Tabela14[[#This Row],[PRECO 3%]]*0.05)+Tabela14[[#This Row],[PRECO 3%]]</f>
        <v>9.8384999999999998</v>
      </c>
      <c r="M331" s="34">
        <f>(Tabela14[[#This Row],[REGIÃO02 - 3%]]*0.06)+Tabela14[[#This Row],[REGIÃO02 - 3%]]</f>
        <v>10.42881</v>
      </c>
      <c r="N331" s="34">
        <f>(Tabela14[[#This Row],[PRECO 3%]]*0.08)+Tabela14[[#This Row],[PRECO 3%]]</f>
        <v>10.119599999999998</v>
      </c>
      <c r="O331" s="34">
        <f>(Tabela14[[#This Row],[REGIÃO03-3%]]*0.06)+Tabela14[[#This Row],[REGIÃO03-3%]]</f>
        <v>10.726775999999997</v>
      </c>
      <c r="P331" s="34">
        <f>(Tabela14[[#This Row],[PRECO 3%]]*0.06)+Tabela14[[#This Row],[PRECO 3%]]</f>
        <v>9.9321999999999999</v>
      </c>
      <c r="Q331" s="34">
        <f>(Tabela14[[#This Row],[REGIÃO04-3%]]*0.06)+Tabela14[[#This Row],[REGIÃO04-3%]]</f>
        <v>10.528131999999999</v>
      </c>
    </row>
    <row r="332" spans="1:17" x14ac:dyDescent="0.25">
      <c r="A332">
        <v>1684</v>
      </c>
      <c r="B332" t="s">
        <v>62</v>
      </c>
      <c r="C332" t="s">
        <v>55</v>
      </c>
      <c r="D332" t="s">
        <v>61</v>
      </c>
      <c r="E332" s="1" t="s">
        <v>322</v>
      </c>
      <c r="F332" t="e">
        <f>VLOOKUP(Tabela14[[#This Row],[ID_COD]],Tabela2[],6,0)</f>
        <v>#N/A</v>
      </c>
      <c r="G332" t="s">
        <v>91</v>
      </c>
      <c r="H332" s="2">
        <v>12.03</v>
      </c>
      <c r="I332" s="34">
        <f>Tabela14[[#This Row],[PRECO 3%]]+(Tabela14[[#This Row],[PRECO 3%]]*0.06)</f>
        <v>12.751799999999999</v>
      </c>
      <c r="J332" s="34"/>
      <c r="K332" s="34">
        <f>(Tabela14[[#This Row],[REGIÃO01-3%]]*0.06)+Tabela14[[#This Row],[REGIÃO01-3%]]</f>
        <v>0</v>
      </c>
      <c r="L332" s="34">
        <f>(Tabela14[[#This Row],[PRECO 3%]]*0.05)+Tabela14[[#This Row],[PRECO 3%]]</f>
        <v>12.631499999999999</v>
      </c>
      <c r="M332" s="34">
        <f>(Tabela14[[#This Row],[REGIÃO02 - 3%]]*0.06)+Tabela14[[#This Row],[REGIÃO02 - 3%]]</f>
        <v>13.389389999999999</v>
      </c>
      <c r="N332" s="34">
        <f>(Tabela14[[#This Row],[PRECO 3%]]*0.08)+Tabela14[[#This Row],[PRECO 3%]]</f>
        <v>12.9924</v>
      </c>
      <c r="O332" s="34">
        <f>(Tabela14[[#This Row],[REGIÃO03-3%]]*0.06)+Tabela14[[#This Row],[REGIÃO03-3%]]</f>
        <v>13.771944</v>
      </c>
      <c r="P332" s="34">
        <f>(Tabela14[[#This Row],[PRECO 3%]]*0.06)+Tabela14[[#This Row],[PRECO 3%]]</f>
        <v>12.751799999999999</v>
      </c>
      <c r="Q332" s="34">
        <f>(Tabela14[[#This Row],[REGIÃO04-3%]]*0.06)+Tabela14[[#This Row],[REGIÃO04-3%]]</f>
        <v>13.516907999999999</v>
      </c>
    </row>
    <row r="333" spans="1:17" x14ac:dyDescent="0.25">
      <c r="A333">
        <v>1685</v>
      </c>
      <c r="B333" t="s">
        <v>62</v>
      </c>
      <c r="C333" t="s">
        <v>57</v>
      </c>
      <c r="D333" t="s">
        <v>61</v>
      </c>
      <c r="E333" s="1" t="s">
        <v>322</v>
      </c>
      <c r="F333" t="e">
        <f>VLOOKUP(Tabela14[[#This Row],[ID_COD]],Tabela2[],6,0)</f>
        <v>#N/A</v>
      </c>
      <c r="G333" t="s">
        <v>101</v>
      </c>
      <c r="H333" s="2">
        <v>17.34</v>
      </c>
      <c r="I333" s="34">
        <f>Tabela14[[#This Row],[PRECO 3%]]+(Tabela14[[#This Row],[PRECO 3%]]*0.06)</f>
        <v>18.380400000000002</v>
      </c>
      <c r="J333" s="34"/>
      <c r="K333" s="34">
        <f>(Tabela14[[#This Row],[REGIÃO01-3%]]*0.06)+Tabela14[[#This Row],[REGIÃO01-3%]]</f>
        <v>0</v>
      </c>
      <c r="L333" s="34">
        <f>(Tabela14[[#This Row],[PRECO 3%]]*0.05)+Tabela14[[#This Row],[PRECO 3%]]</f>
        <v>18.207000000000001</v>
      </c>
      <c r="M333" s="34">
        <f>(Tabela14[[#This Row],[REGIÃO02 - 3%]]*0.06)+Tabela14[[#This Row],[REGIÃO02 - 3%]]</f>
        <v>19.299420000000001</v>
      </c>
      <c r="N333" s="34">
        <f>(Tabela14[[#This Row],[PRECO 3%]]*0.08)+Tabela14[[#This Row],[PRECO 3%]]</f>
        <v>18.7272</v>
      </c>
      <c r="O333" s="34">
        <f>(Tabela14[[#This Row],[REGIÃO03-3%]]*0.06)+Tabela14[[#This Row],[REGIÃO03-3%]]</f>
        <v>19.850832</v>
      </c>
      <c r="P333" s="34">
        <f>(Tabela14[[#This Row],[PRECO 3%]]*0.06)+Tabela14[[#This Row],[PRECO 3%]]</f>
        <v>18.380400000000002</v>
      </c>
      <c r="Q333" s="34">
        <f>(Tabela14[[#This Row],[REGIÃO04-3%]]*0.06)+Tabela14[[#This Row],[REGIÃO04-3%]]</f>
        <v>19.483224</v>
      </c>
    </row>
    <row r="334" spans="1:17" x14ac:dyDescent="0.25">
      <c r="A334">
        <v>1687</v>
      </c>
      <c r="B334" t="s">
        <v>23</v>
      </c>
      <c r="C334" t="s">
        <v>24</v>
      </c>
      <c r="D334" t="s">
        <v>8</v>
      </c>
      <c r="E334" s="1" t="s">
        <v>329</v>
      </c>
      <c r="F334">
        <f>VLOOKUP(Tabela14[[#This Row],[ID_COD]],Tabela2[],6,0)</f>
        <v>30</v>
      </c>
      <c r="G334" t="s">
        <v>207</v>
      </c>
      <c r="H334" s="46">
        <v>19.313684210526315</v>
      </c>
      <c r="I334" s="47">
        <f>Tabela14[[#This Row],[PRECO 3%]]+(Tabela14[[#This Row],[PRECO 3%]]*0.06)</f>
        <v>20.472505263157892</v>
      </c>
      <c r="J334" s="49">
        <f>(Tabela14[[#This Row],[PRECO 3%]]*0.1)+Tabela14[[#This Row],[PRECO 3%]]</f>
        <v>21.245052631578947</v>
      </c>
      <c r="K334" s="49">
        <f>(Tabela14[[#This Row],[REGIÃO01-3%]]*0.06)+Tabela14[[#This Row],[REGIÃO01-3%]]</f>
        <v>22.519755789473685</v>
      </c>
      <c r="L334" s="50">
        <f>(Tabela14[[#This Row],[PRECO 3%]]*0.05)+Tabela14[[#This Row],[PRECO 3%]]</f>
        <v>20.279368421052631</v>
      </c>
      <c r="M334" s="50">
        <f>(Tabela14[[#This Row],[REGIÃO02 - 3%]]*0.06)+Tabela14[[#This Row],[REGIÃO02 - 3%]]</f>
        <v>21.496130526315788</v>
      </c>
      <c r="N334" s="51">
        <f>(Tabela14[[#This Row],[PRECO 3%]]*0.08)+Tabela14[[#This Row],[PRECO 3%]]</f>
        <v>20.858778947368421</v>
      </c>
      <c r="O334" s="51">
        <f>(Tabela14[[#This Row],[REGIÃO03-3%]]*0.06)+Tabela14[[#This Row],[REGIÃO03-3%]]</f>
        <v>22.110305684210527</v>
      </c>
      <c r="P334" s="52">
        <f>(Tabela14[[#This Row],[PRECO 3%]]*0.06)+Tabela14[[#This Row],[PRECO 3%]]</f>
        <v>20.472505263157892</v>
      </c>
      <c r="Q334" s="34">
        <f>(Tabela14[[#This Row],[REGIÃO04-3%]]*0.06)+Tabela14[[#This Row],[REGIÃO04-3%]]</f>
        <v>21.700855578947365</v>
      </c>
    </row>
    <row r="335" spans="1:17" x14ac:dyDescent="0.25">
      <c r="A335">
        <v>1690</v>
      </c>
      <c r="B335" t="s">
        <v>16</v>
      </c>
      <c r="C335" t="s">
        <v>17</v>
      </c>
      <c r="D335" t="s">
        <v>4</v>
      </c>
      <c r="E335" s="1" t="s">
        <v>330</v>
      </c>
      <c r="F335">
        <f>VLOOKUP(Tabela14[[#This Row],[ID_COD]],Tabela2[],6,0)</f>
        <v>32</v>
      </c>
      <c r="G335" t="s">
        <v>108</v>
      </c>
      <c r="H335" s="46">
        <v>18.73076923076923</v>
      </c>
      <c r="I335" s="47">
        <f>Tabela14[[#This Row],[PRECO 3%]]+(Tabela14[[#This Row],[PRECO 3%]]*0.06)</f>
        <v>19.854615384615382</v>
      </c>
      <c r="J335" s="49">
        <f>(Tabela14[[#This Row],[PRECO 3%]]*0.1)+Tabela14[[#This Row],[PRECO 3%]]</f>
        <v>20.603846153846153</v>
      </c>
      <c r="K335" s="49">
        <f>(Tabela14[[#This Row],[REGIÃO01-3%]]*0.06)+Tabela14[[#This Row],[REGIÃO01-3%]]</f>
        <v>21.840076923076921</v>
      </c>
      <c r="L335" s="50">
        <f>(Tabela14[[#This Row],[PRECO 3%]]*0.05)+Tabela14[[#This Row],[PRECO 3%]]</f>
        <v>19.667307692307691</v>
      </c>
      <c r="M335" s="50">
        <f>(Tabela14[[#This Row],[REGIÃO02 - 3%]]*0.06)+Tabela14[[#This Row],[REGIÃO02 - 3%]]</f>
        <v>20.847346153846154</v>
      </c>
      <c r="N335" s="51">
        <f>(Tabela14[[#This Row],[PRECO 3%]]*0.08)+Tabela14[[#This Row],[PRECO 3%]]</f>
        <v>20.229230769230767</v>
      </c>
      <c r="O335" s="51">
        <f>(Tabela14[[#This Row],[REGIÃO03-3%]]*0.06)+Tabela14[[#This Row],[REGIÃO03-3%]]</f>
        <v>21.442984615384614</v>
      </c>
      <c r="P335" s="52">
        <f>(Tabela14[[#This Row],[PRECO 3%]]*0.06)+Tabela14[[#This Row],[PRECO 3%]]</f>
        <v>19.854615384615382</v>
      </c>
      <c r="Q335" s="34">
        <f>(Tabela14[[#This Row],[REGIÃO04-3%]]*0.06)+Tabela14[[#This Row],[REGIÃO04-3%]]</f>
        <v>21.045892307692306</v>
      </c>
    </row>
    <row r="336" spans="1:17" x14ac:dyDescent="0.25">
      <c r="A336">
        <v>1697</v>
      </c>
      <c r="B336" t="s">
        <v>16</v>
      </c>
      <c r="C336" t="s">
        <v>18</v>
      </c>
      <c r="D336" t="s">
        <v>9</v>
      </c>
      <c r="E336" s="1" t="s">
        <v>330</v>
      </c>
      <c r="F336">
        <f>VLOOKUP(Tabela14[[#This Row],[ID_COD]],Tabela2[],6,0)</f>
        <v>32</v>
      </c>
      <c r="G336" t="s">
        <v>280</v>
      </c>
      <c r="H336" s="46">
        <v>29.96875</v>
      </c>
      <c r="I336" s="47">
        <f>Tabela14[[#This Row],[PRECO 3%]]+(Tabela14[[#This Row],[PRECO 3%]]*0.06)</f>
        <v>31.766874999999999</v>
      </c>
      <c r="J336" s="49">
        <f>(Tabela14[[#This Row],[PRECO 3%]]*0.1)+Tabela14[[#This Row],[PRECO 3%]]</f>
        <v>32.965625000000003</v>
      </c>
      <c r="K336" s="49">
        <f>(Tabela14[[#This Row],[REGIÃO01-3%]]*0.06)+Tabela14[[#This Row],[REGIÃO01-3%]]</f>
        <v>34.943562500000006</v>
      </c>
      <c r="L336" s="50">
        <f>(Tabela14[[#This Row],[PRECO 3%]]*0.05)+Tabela14[[#This Row],[PRECO 3%]]</f>
        <v>31.467187500000001</v>
      </c>
      <c r="M336" s="50">
        <f>(Tabela14[[#This Row],[REGIÃO02 - 3%]]*0.06)+Tabela14[[#This Row],[REGIÃO02 - 3%]]</f>
        <v>33.355218749999999</v>
      </c>
      <c r="N336" s="51">
        <f>(Tabela14[[#This Row],[PRECO 3%]]*0.08)+Tabela14[[#This Row],[PRECO 3%]]</f>
        <v>32.366250000000001</v>
      </c>
      <c r="O336" s="51">
        <f>(Tabela14[[#This Row],[REGIÃO03-3%]]*0.06)+Tabela14[[#This Row],[REGIÃO03-3%]]</f>
        <v>34.308225</v>
      </c>
      <c r="P336" s="52">
        <f>(Tabela14[[#This Row],[PRECO 3%]]*0.06)+Tabela14[[#This Row],[PRECO 3%]]</f>
        <v>31.766874999999999</v>
      </c>
      <c r="Q336" s="34">
        <f>(Tabela14[[#This Row],[REGIÃO04-3%]]*0.06)+Tabela14[[#This Row],[REGIÃO04-3%]]</f>
        <v>33.672887500000002</v>
      </c>
    </row>
    <row r="337" spans="1:17" x14ac:dyDescent="0.25">
      <c r="A337">
        <v>1699</v>
      </c>
      <c r="B337" t="s">
        <v>19</v>
      </c>
      <c r="C337" t="s">
        <v>20</v>
      </c>
      <c r="D337" t="s">
        <v>8</v>
      </c>
      <c r="E337" s="1" t="s">
        <v>324</v>
      </c>
      <c r="F337">
        <f>VLOOKUP(Tabela14[[#This Row],[ID_COD]],Tabela2[],6,0)</f>
        <v>1000</v>
      </c>
      <c r="G337" t="s">
        <v>301</v>
      </c>
      <c r="H337" s="46">
        <v>13.525185185185185</v>
      </c>
      <c r="I337" s="47">
        <f>Tabela14[[#This Row],[PRECO 3%]]+(Tabela14[[#This Row],[PRECO 3%]]*0.06)</f>
        <v>14.336696296296296</v>
      </c>
      <c r="J337" s="49">
        <f>(Tabela14[[#This Row],[PRECO 3%]]*0.1)+Tabela14[[#This Row],[PRECO 3%]]</f>
        <v>14.877703703703704</v>
      </c>
      <c r="K337" s="49">
        <f>(Tabela14[[#This Row],[REGIÃO01-3%]]*0.06)+Tabela14[[#This Row],[REGIÃO01-3%]]</f>
        <v>15.770365925925926</v>
      </c>
      <c r="L337" s="50">
        <f>(Tabela14[[#This Row],[PRECO 3%]]*0.05)+Tabela14[[#This Row],[PRECO 3%]]</f>
        <v>14.201444444444444</v>
      </c>
      <c r="M337" s="50">
        <f>(Tabela14[[#This Row],[REGIÃO02 - 3%]]*0.06)+Tabela14[[#This Row],[REGIÃO02 - 3%]]</f>
        <v>15.053531111111111</v>
      </c>
      <c r="N337" s="51">
        <f>(Tabela14[[#This Row],[PRECO 3%]]*0.08)+Tabela14[[#This Row],[PRECO 3%]]</f>
        <v>14.607199999999999</v>
      </c>
      <c r="O337" s="51">
        <f>(Tabela14[[#This Row],[REGIÃO03-3%]]*0.06)+Tabela14[[#This Row],[REGIÃO03-3%]]</f>
        <v>15.483631999999998</v>
      </c>
      <c r="P337" s="52">
        <f>(Tabela14[[#This Row],[PRECO 3%]]*0.06)+Tabela14[[#This Row],[PRECO 3%]]</f>
        <v>14.336696296296296</v>
      </c>
      <c r="Q337" s="34">
        <f>(Tabela14[[#This Row],[REGIÃO04-3%]]*0.06)+Tabela14[[#This Row],[REGIÃO04-3%]]</f>
        <v>15.196898074074074</v>
      </c>
    </row>
    <row r="338" spans="1:17" x14ac:dyDescent="0.25">
      <c r="A338">
        <v>1700</v>
      </c>
      <c r="B338" t="s">
        <v>16</v>
      </c>
      <c r="C338" t="s">
        <v>18</v>
      </c>
      <c r="D338" t="s">
        <v>9</v>
      </c>
      <c r="E338" s="1" t="s">
        <v>329</v>
      </c>
      <c r="F338">
        <f>VLOOKUP(Tabela14[[#This Row],[ID_COD]],Tabela2[],6,0)</f>
        <v>32</v>
      </c>
      <c r="G338" t="s">
        <v>284</v>
      </c>
      <c r="H338" s="46">
        <v>28.77</v>
      </c>
      <c r="I338" s="47">
        <f>Tabela14[[#This Row],[PRECO 3%]]+(Tabela14[[#This Row],[PRECO 3%]]*0.06)</f>
        <v>30.496199999999998</v>
      </c>
      <c r="J338" s="49">
        <f>(Tabela14[[#This Row],[PRECO 3%]]*0.1)+Tabela14[[#This Row],[PRECO 3%]]</f>
        <v>31.646999999999998</v>
      </c>
      <c r="K338" s="49">
        <f>(Tabela14[[#This Row],[REGIÃO01-3%]]*0.06)+Tabela14[[#This Row],[REGIÃO01-3%]]</f>
        <v>33.545819999999999</v>
      </c>
      <c r="L338" s="50">
        <f>(Tabela14[[#This Row],[PRECO 3%]]*0.05)+Tabela14[[#This Row],[PRECO 3%]]</f>
        <v>30.208500000000001</v>
      </c>
      <c r="M338" s="50">
        <f>(Tabela14[[#This Row],[REGIÃO02 - 3%]]*0.06)+Tabela14[[#This Row],[REGIÃO02 - 3%]]</f>
        <v>32.021010000000004</v>
      </c>
      <c r="N338" s="51">
        <f>(Tabela14[[#This Row],[PRECO 3%]]*0.08)+Tabela14[[#This Row],[PRECO 3%]]</f>
        <v>31.0716</v>
      </c>
      <c r="O338" s="51">
        <f>(Tabela14[[#This Row],[REGIÃO03-3%]]*0.06)+Tabela14[[#This Row],[REGIÃO03-3%]]</f>
        <v>32.935896</v>
      </c>
      <c r="P338" s="52">
        <f>(Tabela14[[#This Row],[PRECO 3%]]*0.06)+Tabela14[[#This Row],[PRECO 3%]]</f>
        <v>30.496199999999998</v>
      </c>
      <c r="Q338" s="34">
        <f>(Tabela14[[#This Row],[REGIÃO04-3%]]*0.06)+Tabela14[[#This Row],[REGIÃO04-3%]]</f>
        <v>32.325972</v>
      </c>
    </row>
    <row r="339" spans="1:17" x14ac:dyDescent="0.25">
      <c r="A339">
        <v>1754</v>
      </c>
      <c r="B339" t="s">
        <v>14</v>
      </c>
      <c r="C339" t="s">
        <v>15</v>
      </c>
      <c r="D339" t="s">
        <v>9</v>
      </c>
      <c r="E339" s="1" t="s">
        <v>326</v>
      </c>
      <c r="F339">
        <f>VLOOKUP(Tabela14[[#This Row],[ID_COD]],Tabela2[],6,0)</f>
        <v>40</v>
      </c>
      <c r="G339" t="s">
        <v>267</v>
      </c>
      <c r="H339" s="46">
        <v>27.880000000000003</v>
      </c>
      <c r="I339" s="47">
        <f>Tabela14[[#This Row],[PRECO 3%]]+(Tabela14[[#This Row],[PRECO 3%]]*0.06)</f>
        <v>29.552800000000001</v>
      </c>
      <c r="J339" s="49">
        <f>(Tabela14[[#This Row],[PRECO 3%]]*0.1)+Tabela14[[#This Row],[PRECO 3%]]</f>
        <v>30.668000000000003</v>
      </c>
      <c r="K339" s="49">
        <f>(Tabela14[[#This Row],[REGIÃO01-3%]]*0.06)+Tabela14[[#This Row],[REGIÃO01-3%]]</f>
        <v>32.50808</v>
      </c>
      <c r="L339" s="50">
        <f>(Tabela14[[#This Row],[PRECO 3%]]*0.05)+Tabela14[[#This Row],[PRECO 3%]]</f>
        <v>29.274000000000001</v>
      </c>
      <c r="M339" s="50">
        <f>(Tabela14[[#This Row],[REGIÃO02 - 3%]]*0.06)+Tabela14[[#This Row],[REGIÃO02 - 3%]]</f>
        <v>31.030440000000002</v>
      </c>
      <c r="N339" s="51">
        <f>(Tabela14[[#This Row],[PRECO 3%]]*0.08)+Tabela14[[#This Row],[PRECO 3%]]</f>
        <v>30.110400000000002</v>
      </c>
      <c r="O339" s="51">
        <f>(Tabela14[[#This Row],[REGIÃO03-3%]]*0.06)+Tabela14[[#This Row],[REGIÃO03-3%]]</f>
        <v>31.917024000000001</v>
      </c>
      <c r="P339" s="52">
        <f>(Tabela14[[#This Row],[PRECO 3%]]*0.06)+Tabela14[[#This Row],[PRECO 3%]]</f>
        <v>29.552800000000001</v>
      </c>
      <c r="Q339" s="34">
        <f>(Tabela14[[#This Row],[REGIÃO04-3%]]*0.06)+Tabela14[[#This Row],[REGIÃO04-3%]]</f>
        <v>31.325968000000003</v>
      </c>
    </row>
    <row r="340" spans="1:17" x14ac:dyDescent="0.25">
      <c r="A340">
        <v>1773</v>
      </c>
      <c r="B340" t="s">
        <v>19</v>
      </c>
      <c r="C340" t="s">
        <v>20</v>
      </c>
      <c r="D340" t="s">
        <v>8</v>
      </c>
      <c r="E340" s="1" t="s">
        <v>326</v>
      </c>
      <c r="F340">
        <f>VLOOKUP(Tabela14[[#This Row],[ID_COD]],Tabela2[],6,0)</f>
        <v>40</v>
      </c>
      <c r="G340" t="s">
        <v>109</v>
      </c>
      <c r="H340" s="46">
        <v>14.948888888888888</v>
      </c>
      <c r="I340" s="47">
        <f>Tabela14[[#This Row],[PRECO 3%]]+(Tabela14[[#This Row],[PRECO 3%]]*0.06)</f>
        <v>15.845822222222221</v>
      </c>
      <c r="J340" s="49">
        <f>(Tabela14[[#This Row],[PRECO 3%]]*0.1)+Tabela14[[#This Row],[PRECO 3%]]</f>
        <v>16.443777777777775</v>
      </c>
      <c r="K340" s="49">
        <f>(Tabela14[[#This Row],[REGIÃO01-3%]]*0.06)+Tabela14[[#This Row],[REGIÃO01-3%]]</f>
        <v>17.430404444444441</v>
      </c>
      <c r="L340" s="50">
        <f>(Tabela14[[#This Row],[PRECO 3%]]*0.05)+Tabela14[[#This Row],[PRECO 3%]]</f>
        <v>15.696333333333332</v>
      </c>
      <c r="M340" s="50">
        <f>(Tabela14[[#This Row],[REGIÃO02 - 3%]]*0.06)+Tabela14[[#This Row],[REGIÃO02 - 3%]]</f>
        <v>16.638113333333333</v>
      </c>
      <c r="N340" s="51">
        <f>(Tabela14[[#This Row],[PRECO 3%]]*0.08)+Tabela14[[#This Row],[PRECO 3%]]</f>
        <v>16.1448</v>
      </c>
      <c r="O340" s="51">
        <f>(Tabela14[[#This Row],[REGIÃO03-3%]]*0.06)+Tabela14[[#This Row],[REGIÃO03-3%]]</f>
        <v>17.113488</v>
      </c>
      <c r="P340" s="52">
        <f>(Tabela14[[#This Row],[PRECO 3%]]*0.06)+Tabela14[[#This Row],[PRECO 3%]]</f>
        <v>15.845822222222221</v>
      </c>
      <c r="Q340" s="34">
        <f>(Tabela14[[#This Row],[REGIÃO04-3%]]*0.06)+Tabela14[[#This Row],[REGIÃO04-3%]]</f>
        <v>16.796571555555555</v>
      </c>
    </row>
    <row r="341" spans="1:17" x14ac:dyDescent="0.25">
      <c r="A341">
        <v>1774</v>
      </c>
      <c r="B341" t="s">
        <v>14</v>
      </c>
      <c r="C341" t="s">
        <v>15</v>
      </c>
      <c r="D341" t="s">
        <v>9</v>
      </c>
      <c r="E341" s="1" t="s">
        <v>327</v>
      </c>
      <c r="F341">
        <f>VLOOKUP(Tabela14[[#This Row],[ID_COD]],Tabela2[],6,0)</f>
        <v>40</v>
      </c>
      <c r="G341" t="s">
        <v>267</v>
      </c>
      <c r="H341" s="46">
        <v>29.207619047619044</v>
      </c>
      <c r="I341" s="47">
        <f>Tabela14[[#This Row],[PRECO 3%]]+(Tabela14[[#This Row],[PRECO 3%]]*0.06)</f>
        <v>30.960076190476187</v>
      </c>
      <c r="J341" s="49">
        <f>(Tabela14[[#This Row],[PRECO 3%]]*0.1)+Tabela14[[#This Row],[PRECO 3%]]</f>
        <v>32.128380952380951</v>
      </c>
      <c r="K341" s="49">
        <f>(Tabela14[[#This Row],[REGIÃO01-3%]]*0.06)+Tabela14[[#This Row],[REGIÃO01-3%]]</f>
        <v>34.056083809523805</v>
      </c>
      <c r="L341" s="50">
        <f>(Tabela14[[#This Row],[PRECO 3%]]*0.05)+Tabela14[[#This Row],[PRECO 3%]]</f>
        <v>30.667999999999996</v>
      </c>
      <c r="M341" s="50">
        <f>(Tabela14[[#This Row],[REGIÃO02 - 3%]]*0.06)+Tabela14[[#This Row],[REGIÃO02 - 3%]]</f>
        <v>32.508079999999993</v>
      </c>
      <c r="N341" s="51">
        <f>(Tabela14[[#This Row],[PRECO 3%]]*0.08)+Tabela14[[#This Row],[PRECO 3%]]</f>
        <v>31.544228571428569</v>
      </c>
      <c r="O341" s="51">
        <f>(Tabela14[[#This Row],[REGIÃO03-3%]]*0.06)+Tabela14[[#This Row],[REGIÃO03-3%]]</f>
        <v>33.436882285714283</v>
      </c>
      <c r="P341" s="52">
        <f>(Tabela14[[#This Row],[PRECO 3%]]*0.06)+Tabela14[[#This Row],[PRECO 3%]]</f>
        <v>30.960076190476187</v>
      </c>
      <c r="Q341" s="34">
        <f>(Tabela14[[#This Row],[REGIÃO04-3%]]*0.06)+Tabela14[[#This Row],[REGIÃO04-3%]]</f>
        <v>32.817680761904761</v>
      </c>
    </row>
    <row r="342" spans="1:17" x14ac:dyDescent="0.25">
      <c r="A342">
        <v>1775</v>
      </c>
      <c r="B342" t="s">
        <v>21</v>
      </c>
      <c r="C342" t="s">
        <v>22</v>
      </c>
      <c r="D342" t="s">
        <v>9</v>
      </c>
      <c r="E342" s="1" t="s">
        <v>335</v>
      </c>
      <c r="F342">
        <f>VLOOKUP(Tabela14[[#This Row],[ID_COD]],Tabela2[],6,0)</f>
        <v>20</v>
      </c>
      <c r="G342" t="s">
        <v>188</v>
      </c>
      <c r="H342" s="46">
        <v>32.075675675675676</v>
      </c>
      <c r="I342" s="47">
        <f>Tabela14[[#This Row],[PRECO 3%]]+(Tabela14[[#This Row],[PRECO 3%]]*0.06)</f>
        <v>34.000216216216216</v>
      </c>
      <c r="J342" s="49">
        <f>(Tabela14[[#This Row],[PRECO 3%]]*0.1)+Tabela14[[#This Row],[PRECO 3%]]</f>
        <v>35.283243243243241</v>
      </c>
      <c r="K342" s="49">
        <f>(Tabela14[[#This Row],[REGIÃO01-3%]]*0.06)+Tabela14[[#This Row],[REGIÃO01-3%]]</f>
        <v>37.400237837837835</v>
      </c>
      <c r="L342" s="50">
        <f>(Tabela14[[#This Row],[PRECO 3%]]*0.05)+Tabela14[[#This Row],[PRECO 3%]]</f>
        <v>33.679459459459459</v>
      </c>
      <c r="M342" s="50">
        <f>(Tabela14[[#This Row],[REGIÃO02 - 3%]]*0.06)+Tabela14[[#This Row],[REGIÃO02 - 3%]]</f>
        <v>35.700227027027026</v>
      </c>
      <c r="N342" s="51">
        <f>(Tabela14[[#This Row],[PRECO 3%]]*0.08)+Tabela14[[#This Row],[PRECO 3%]]</f>
        <v>34.641729729729732</v>
      </c>
      <c r="O342" s="51">
        <f>(Tabela14[[#This Row],[REGIÃO03-3%]]*0.06)+Tabela14[[#This Row],[REGIÃO03-3%]]</f>
        <v>36.72023351351352</v>
      </c>
      <c r="P342" s="52">
        <f>(Tabela14[[#This Row],[PRECO 3%]]*0.06)+Tabela14[[#This Row],[PRECO 3%]]</f>
        <v>34.000216216216216</v>
      </c>
      <c r="Q342" s="34">
        <f>(Tabela14[[#This Row],[REGIÃO04-3%]]*0.06)+Tabela14[[#This Row],[REGIÃO04-3%]]</f>
        <v>36.040229189189191</v>
      </c>
    </row>
    <row r="343" spans="1:17" x14ac:dyDescent="0.25">
      <c r="A343">
        <v>1776</v>
      </c>
      <c r="B343" t="s">
        <v>21</v>
      </c>
      <c r="C343" t="s">
        <v>22</v>
      </c>
      <c r="D343" t="s">
        <v>9</v>
      </c>
      <c r="E343" s="1" t="s">
        <v>336</v>
      </c>
      <c r="F343">
        <f>VLOOKUP(Tabela14[[#This Row],[ID_COD]],Tabela2[],6,0)</f>
        <v>0</v>
      </c>
      <c r="G343" t="s">
        <v>191</v>
      </c>
      <c r="H343" s="46">
        <v>32.877567567567567</v>
      </c>
      <c r="I343" s="47">
        <f>Tabela14[[#This Row],[PRECO 3%]]+(Tabela14[[#This Row],[PRECO 3%]]*0.06)</f>
        <v>34.850221621621621</v>
      </c>
      <c r="J343" s="49">
        <f>(Tabela14[[#This Row],[PRECO 3%]]*0.1)+Tabela14[[#This Row],[PRECO 3%]]</f>
        <v>36.165324324324324</v>
      </c>
      <c r="K343" s="49">
        <f>(Tabela14[[#This Row],[REGIÃO01-3%]]*0.06)+Tabela14[[#This Row],[REGIÃO01-3%]]</f>
        <v>38.335243783783781</v>
      </c>
      <c r="L343" s="50">
        <f>(Tabela14[[#This Row],[PRECO 3%]]*0.05)+Tabela14[[#This Row],[PRECO 3%]]</f>
        <v>34.521445945945942</v>
      </c>
      <c r="M343" s="50">
        <f>(Tabela14[[#This Row],[REGIÃO02 - 3%]]*0.06)+Tabela14[[#This Row],[REGIÃO02 - 3%]]</f>
        <v>36.592732702702698</v>
      </c>
      <c r="N343" s="51">
        <f>(Tabela14[[#This Row],[PRECO 3%]]*0.08)+Tabela14[[#This Row],[PRECO 3%]]</f>
        <v>35.507772972972973</v>
      </c>
      <c r="O343" s="51">
        <f>(Tabela14[[#This Row],[REGIÃO03-3%]]*0.06)+Tabela14[[#This Row],[REGIÃO03-3%]]</f>
        <v>37.638239351351352</v>
      </c>
      <c r="P343" s="52">
        <f>(Tabela14[[#This Row],[PRECO 3%]]*0.06)+Tabela14[[#This Row],[PRECO 3%]]</f>
        <v>34.850221621621621</v>
      </c>
      <c r="Q343" s="34">
        <f>(Tabela14[[#This Row],[REGIÃO04-3%]]*0.06)+Tabela14[[#This Row],[REGIÃO04-3%]]</f>
        <v>36.941234918918916</v>
      </c>
    </row>
    <row r="344" spans="1:17" x14ac:dyDescent="0.25">
      <c r="A344">
        <v>1777</v>
      </c>
      <c r="B344" t="s">
        <v>21</v>
      </c>
      <c r="C344" t="s">
        <v>22</v>
      </c>
      <c r="D344" t="s">
        <v>9</v>
      </c>
      <c r="E344" s="1" t="s">
        <v>141</v>
      </c>
      <c r="F344">
        <f>VLOOKUP(Tabela14[[#This Row],[ID_COD]],Tabela2[],6,0)</f>
        <v>0</v>
      </c>
      <c r="G344" t="s">
        <v>192</v>
      </c>
      <c r="H344" s="46">
        <v>33.679459459459466</v>
      </c>
      <c r="I344" s="47">
        <f>Tabela14[[#This Row],[PRECO 3%]]+(Tabela14[[#This Row],[PRECO 3%]]*0.06)</f>
        <v>35.700227027027033</v>
      </c>
      <c r="J344" s="49">
        <f>(Tabela14[[#This Row],[PRECO 3%]]*0.1)+Tabela14[[#This Row],[PRECO 3%]]</f>
        <v>37.047405405405414</v>
      </c>
      <c r="K344" s="49">
        <f>(Tabela14[[#This Row],[REGIÃO01-3%]]*0.06)+Tabela14[[#This Row],[REGIÃO01-3%]]</f>
        <v>39.270249729729741</v>
      </c>
      <c r="L344" s="50">
        <f>(Tabela14[[#This Row],[PRECO 3%]]*0.05)+Tabela14[[#This Row],[PRECO 3%]]</f>
        <v>35.36343243243244</v>
      </c>
      <c r="M344" s="50">
        <f>(Tabela14[[#This Row],[REGIÃO02 - 3%]]*0.06)+Tabela14[[#This Row],[REGIÃO02 - 3%]]</f>
        <v>37.485238378378384</v>
      </c>
      <c r="N344" s="51">
        <f>(Tabela14[[#This Row],[PRECO 3%]]*0.08)+Tabela14[[#This Row],[PRECO 3%]]</f>
        <v>36.37381621621622</v>
      </c>
      <c r="O344" s="51">
        <f>(Tabela14[[#This Row],[REGIÃO03-3%]]*0.06)+Tabela14[[#This Row],[REGIÃO03-3%]]</f>
        <v>38.556245189189191</v>
      </c>
      <c r="P344" s="52">
        <f>(Tabela14[[#This Row],[PRECO 3%]]*0.06)+Tabela14[[#This Row],[PRECO 3%]]</f>
        <v>35.700227027027033</v>
      </c>
      <c r="Q344" s="34">
        <f>(Tabela14[[#This Row],[REGIÃO04-3%]]*0.06)+Tabela14[[#This Row],[REGIÃO04-3%]]</f>
        <v>37.842240648648655</v>
      </c>
    </row>
    <row r="345" spans="1:17" x14ac:dyDescent="0.25">
      <c r="A345">
        <v>1778</v>
      </c>
      <c r="B345" t="s">
        <v>23</v>
      </c>
      <c r="C345" t="s">
        <v>24</v>
      </c>
      <c r="D345" t="s">
        <v>9</v>
      </c>
      <c r="E345" s="1" t="s">
        <v>335</v>
      </c>
      <c r="F345">
        <f>VLOOKUP(Tabela14[[#This Row],[ID_COD]],Tabela2[],6,0)</f>
        <v>20</v>
      </c>
      <c r="G345" t="s">
        <v>207</v>
      </c>
      <c r="H345" s="2" t="e">
        <v>#N/A</v>
      </c>
      <c r="I345" s="34" t="e">
        <f>Tabela14[[#This Row],[PRECO 3%]]+(Tabela14[[#This Row],[PRECO 3%]]*0.06)</f>
        <v>#N/A</v>
      </c>
      <c r="J345" s="34" t="e">
        <f>(Tabela14[[#This Row],[PRECO 3%]]*0.1)+Tabela14[[#This Row],[PRECO 3%]]</f>
        <v>#N/A</v>
      </c>
      <c r="K345" s="34" t="e">
        <f>(Tabela14[[#This Row],[REGIÃO01-3%]]*0.06)+Tabela14[[#This Row],[REGIÃO01-3%]]</f>
        <v>#N/A</v>
      </c>
      <c r="L345" s="34" t="e">
        <f>(Tabela14[[#This Row],[PRECO 3%]]*0.05)+Tabela14[[#This Row],[PRECO 3%]]</f>
        <v>#N/A</v>
      </c>
      <c r="M345" s="34" t="e">
        <f>(Tabela14[[#This Row],[REGIÃO02 - 3%]]*0.06)+Tabela14[[#This Row],[REGIÃO02 - 3%]]</f>
        <v>#N/A</v>
      </c>
      <c r="N345" s="34" t="e">
        <f>(Tabela14[[#This Row],[PRECO 3%]]*0.08)+Tabela14[[#This Row],[PRECO 3%]]</f>
        <v>#N/A</v>
      </c>
      <c r="O345" s="34" t="e">
        <f>(Tabela14[[#This Row],[REGIÃO03-3%]]*0.06)+Tabela14[[#This Row],[REGIÃO03-3%]]</f>
        <v>#N/A</v>
      </c>
      <c r="P345" s="34" t="e">
        <f>(Tabela14[[#This Row],[PRECO 3%]]*0.06)+Tabela14[[#This Row],[PRECO 3%]]</f>
        <v>#N/A</v>
      </c>
      <c r="Q345" s="34" t="e">
        <f>(Tabela14[[#This Row],[REGIÃO04-3%]]*0.06)+Tabela14[[#This Row],[REGIÃO04-3%]]</f>
        <v>#N/A</v>
      </c>
    </row>
    <row r="346" spans="1:17" x14ac:dyDescent="0.25">
      <c r="A346">
        <v>1779</v>
      </c>
      <c r="B346" t="s">
        <v>23</v>
      </c>
      <c r="C346" t="s">
        <v>24</v>
      </c>
      <c r="D346" t="s">
        <v>9</v>
      </c>
      <c r="E346" s="1" t="s">
        <v>336</v>
      </c>
      <c r="F346">
        <f>VLOOKUP(Tabela14[[#This Row],[ID_COD]],Tabela2[],6,0)</f>
        <v>20</v>
      </c>
      <c r="G346" t="s">
        <v>210</v>
      </c>
      <c r="H346" s="2" t="e">
        <v>#N/A</v>
      </c>
      <c r="I346" s="34" t="e">
        <f>Tabela14[[#This Row],[PRECO 3%]]+(Tabela14[[#This Row],[PRECO 3%]]*0.06)</f>
        <v>#N/A</v>
      </c>
      <c r="J346" s="34" t="e">
        <f>(Tabela14[[#This Row],[PRECO 3%]]*0.1)+Tabela14[[#This Row],[PRECO 3%]]</f>
        <v>#N/A</v>
      </c>
      <c r="K346" s="34" t="e">
        <f>(Tabela14[[#This Row],[REGIÃO01-3%]]*0.06)+Tabela14[[#This Row],[REGIÃO01-3%]]</f>
        <v>#N/A</v>
      </c>
      <c r="L346" s="34" t="e">
        <f>(Tabela14[[#This Row],[PRECO 3%]]*0.05)+Tabela14[[#This Row],[PRECO 3%]]</f>
        <v>#N/A</v>
      </c>
      <c r="M346" s="34" t="e">
        <f>(Tabela14[[#This Row],[REGIÃO02 - 3%]]*0.06)+Tabela14[[#This Row],[REGIÃO02 - 3%]]</f>
        <v>#N/A</v>
      </c>
      <c r="N346" s="34" t="e">
        <f>(Tabela14[[#This Row],[PRECO 3%]]*0.08)+Tabela14[[#This Row],[PRECO 3%]]</f>
        <v>#N/A</v>
      </c>
      <c r="O346" s="34" t="e">
        <f>(Tabela14[[#This Row],[REGIÃO03-3%]]*0.06)+Tabela14[[#This Row],[REGIÃO03-3%]]</f>
        <v>#N/A</v>
      </c>
      <c r="P346" s="34" t="e">
        <f>(Tabela14[[#This Row],[PRECO 3%]]*0.06)+Tabela14[[#This Row],[PRECO 3%]]</f>
        <v>#N/A</v>
      </c>
      <c r="Q346" s="34" t="e">
        <f>(Tabela14[[#This Row],[REGIÃO04-3%]]*0.06)+Tabela14[[#This Row],[REGIÃO04-3%]]</f>
        <v>#N/A</v>
      </c>
    </row>
    <row r="347" spans="1:17" x14ac:dyDescent="0.25">
      <c r="A347">
        <v>1780</v>
      </c>
      <c r="B347" t="s">
        <v>23</v>
      </c>
      <c r="C347" t="s">
        <v>24</v>
      </c>
      <c r="D347" t="s">
        <v>9</v>
      </c>
      <c r="E347" s="1" t="s">
        <v>141</v>
      </c>
      <c r="F347">
        <f>VLOOKUP(Tabela14[[#This Row],[ID_COD]],Tabela2[],6,0)</f>
        <v>0</v>
      </c>
      <c r="G347" t="s">
        <v>211</v>
      </c>
      <c r="H347" s="2" t="e">
        <v>#N/A</v>
      </c>
      <c r="I347" s="34" t="e">
        <f>Tabela14[[#This Row],[PRECO 3%]]+(Tabela14[[#This Row],[PRECO 3%]]*0.06)</f>
        <v>#N/A</v>
      </c>
      <c r="J347" s="34" t="e">
        <f>(Tabela14[[#This Row],[PRECO 3%]]*0.1)+Tabela14[[#This Row],[PRECO 3%]]</f>
        <v>#N/A</v>
      </c>
      <c r="K347" s="34" t="e">
        <f>(Tabela14[[#This Row],[REGIÃO01-3%]]*0.06)+Tabela14[[#This Row],[REGIÃO01-3%]]</f>
        <v>#N/A</v>
      </c>
      <c r="L347" s="34" t="e">
        <f>(Tabela14[[#This Row],[PRECO 3%]]*0.05)+Tabela14[[#This Row],[PRECO 3%]]</f>
        <v>#N/A</v>
      </c>
      <c r="M347" s="34" t="e">
        <f>(Tabela14[[#This Row],[REGIÃO02 - 3%]]*0.06)+Tabela14[[#This Row],[REGIÃO02 - 3%]]</f>
        <v>#N/A</v>
      </c>
      <c r="N347" s="34" t="e">
        <f>(Tabela14[[#This Row],[PRECO 3%]]*0.08)+Tabela14[[#This Row],[PRECO 3%]]</f>
        <v>#N/A</v>
      </c>
      <c r="O347" s="34" t="e">
        <f>(Tabela14[[#This Row],[REGIÃO03-3%]]*0.06)+Tabela14[[#This Row],[REGIÃO03-3%]]</f>
        <v>#N/A</v>
      </c>
      <c r="P347" s="34" t="e">
        <f>(Tabela14[[#This Row],[PRECO 3%]]*0.06)+Tabela14[[#This Row],[PRECO 3%]]</f>
        <v>#N/A</v>
      </c>
      <c r="Q347" s="34" t="e">
        <f>(Tabela14[[#This Row],[REGIÃO04-3%]]*0.06)+Tabela14[[#This Row],[REGIÃO04-3%]]</f>
        <v>#N/A</v>
      </c>
    </row>
    <row r="348" spans="1:17" x14ac:dyDescent="0.25">
      <c r="A348">
        <v>1781</v>
      </c>
      <c r="B348" t="s">
        <v>25</v>
      </c>
      <c r="C348" t="s">
        <v>26</v>
      </c>
      <c r="D348" t="s">
        <v>9</v>
      </c>
      <c r="E348" s="1" t="s">
        <v>335</v>
      </c>
      <c r="F348">
        <f>VLOOKUP(Tabela14[[#This Row],[ID_COD]],Tabela2[],6,0)</f>
        <v>20</v>
      </c>
      <c r="G348" t="s">
        <v>227</v>
      </c>
      <c r="H348" s="2" t="e">
        <v>#N/A</v>
      </c>
      <c r="I348" s="34" t="e">
        <f>Tabela14[[#This Row],[PRECO 3%]]+(Tabela14[[#This Row],[PRECO 3%]]*0.06)</f>
        <v>#N/A</v>
      </c>
      <c r="J348" s="34" t="e">
        <f>(Tabela14[[#This Row],[PRECO 3%]]*0.1)+Tabela14[[#This Row],[PRECO 3%]]</f>
        <v>#N/A</v>
      </c>
      <c r="K348" s="34" t="e">
        <f>(Tabela14[[#This Row],[REGIÃO01-3%]]*0.06)+Tabela14[[#This Row],[REGIÃO01-3%]]</f>
        <v>#N/A</v>
      </c>
      <c r="L348" s="34" t="e">
        <f>(Tabela14[[#This Row],[PRECO 3%]]*0.05)+Tabela14[[#This Row],[PRECO 3%]]</f>
        <v>#N/A</v>
      </c>
      <c r="M348" s="34" t="e">
        <f>(Tabela14[[#This Row],[REGIÃO02 - 3%]]*0.06)+Tabela14[[#This Row],[REGIÃO02 - 3%]]</f>
        <v>#N/A</v>
      </c>
      <c r="N348" s="34" t="e">
        <f>(Tabela14[[#This Row],[PRECO 3%]]*0.08)+Tabela14[[#This Row],[PRECO 3%]]</f>
        <v>#N/A</v>
      </c>
      <c r="O348" s="34" t="e">
        <f>(Tabela14[[#This Row],[REGIÃO03-3%]]*0.06)+Tabela14[[#This Row],[REGIÃO03-3%]]</f>
        <v>#N/A</v>
      </c>
      <c r="P348" s="34" t="e">
        <f>(Tabela14[[#This Row],[PRECO 3%]]*0.06)+Tabela14[[#This Row],[PRECO 3%]]</f>
        <v>#N/A</v>
      </c>
      <c r="Q348" s="34" t="e">
        <f>(Tabela14[[#This Row],[REGIÃO04-3%]]*0.06)+Tabela14[[#This Row],[REGIÃO04-3%]]</f>
        <v>#N/A</v>
      </c>
    </row>
    <row r="349" spans="1:17" x14ac:dyDescent="0.25">
      <c r="A349">
        <v>1782</v>
      </c>
      <c r="B349" t="s">
        <v>25</v>
      </c>
      <c r="C349" t="s">
        <v>26</v>
      </c>
      <c r="D349" t="s">
        <v>9</v>
      </c>
      <c r="E349" s="1" t="s">
        <v>336</v>
      </c>
      <c r="F349">
        <f>VLOOKUP(Tabela14[[#This Row],[ID_COD]],Tabela2[],6,0)</f>
        <v>0</v>
      </c>
      <c r="G349" t="s">
        <v>229</v>
      </c>
      <c r="H349" s="2" t="e">
        <v>#N/A</v>
      </c>
      <c r="I349" s="34" t="e">
        <f>Tabela14[[#This Row],[PRECO 3%]]+(Tabela14[[#This Row],[PRECO 3%]]*0.06)</f>
        <v>#N/A</v>
      </c>
      <c r="J349" s="34" t="e">
        <f>(Tabela14[[#This Row],[PRECO 3%]]*0.1)+Tabela14[[#This Row],[PRECO 3%]]</f>
        <v>#N/A</v>
      </c>
      <c r="K349" s="34" t="e">
        <f>(Tabela14[[#This Row],[REGIÃO01-3%]]*0.06)+Tabela14[[#This Row],[REGIÃO01-3%]]</f>
        <v>#N/A</v>
      </c>
      <c r="L349" s="34" t="e">
        <f>(Tabela14[[#This Row],[PRECO 3%]]*0.05)+Tabela14[[#This Row],[PRECO 3%]]</f>
        <v>#N/A</v>
      </c>
      <c r="M349" s="34" t="e">
        <f>(Tabela14[[#This Row],[REGIÃO02 - 3%]]*0.06)+Tabela14[[#This Row],[REGIÃO02 - 3%]]</f>
        <v>#N/A</v>
      </c>
      <c r="N349" s="34" t="e">
        <f>(Tabela14[[#This Row],[PRECO 3%]]*0.08)+Tabela14[[#This Row],[PRECO 3%]]</f>
        <v>#N/A</v>
      </c>
      <c r="O349" s="34" t="e">
        <f>(Tabela14[[#This Row],[REGIÃO03-3%]]*0.06)+Tabela14[[#This Row],[REGIÃO03-3%]]</f>
        <v>#N/A</v>
      </c>
      <c r="P349" s="34" t="e">
        <f>(Tabela14[[#This Row],[PRECO 3%]]*0.06)+Tabela14[[#This Row],[PRECO 3%]]</f>
        <v>#N/A</v>
      </c>
      <c r="Q349" s="34" t="e">
        <f>(Tabela14[[#This Row],[REGIÃO04-3%]]*0.06)+Tabela14[[#This Row],[REGIÃO04-3%]]</f>
        <v>#N/A</v>
      </c>
    </row>
    <row r="350" spans="1:17" x14ac:dyDescent="0.25">
      <c r="A350">
        <v>1787</v>
      </c>
      <c r="B350" t="s">
        <v>27</v>
      </c>
      <c r="C350" t="s">
        <v>44</v>
      </c>
      <c r="D350" t="s">
        <v>61</v>
      </c>
      <c r="E350" s="1" t="s">
        <v>322</v>
      </c>
      <c r="F350" t="e">
        <f>VLOOKUP(Tabela14[[#This Row],[ID_COD]],Tabela2[],6,0)</f>
        <v>#N/A</v>
      </c>
      <c r="G350" t="s">
        <v>170</v>
      </c>
      <c r="H350" s="46">
        <v>4.6100000000000003</v>
      </c>
      <c r="I350" s="47">
        <f>Tabela14[[#This Row],[PRECO 3%]]+(Tabela14[[#This Row],[PRECO 3%]]*0.06)</f>
        <v>4.8866000000000005</v>
      </c>
      <c r="J350" s="49">
        <f>(Tabela14[[#This Row],[PRECO 3%]]*0.1)+Tabela14[[#This Row],[PRECO 3%]]</f>
        <v>5.0710000000000006</v>
      </c>
      <c r="K350" s="49">
        <f>(Tabela14[[#This Row],[REGIÃO01-3%]]*0.06)+Tabela14[[#This Row],[REGIÃO01-3%]]</f>
        <v>5.3752600000000008</v>
      </c>
      <c r="L350" s="50">
        <f>(Tabela14[[#This Row],[PRECO 3%]]*0.05)+Tabela14[[#This Row],[PRECO 3%]]</f>
        <v>4.8405000000000005</v>
      </c>
      <c r="M350" s="50">
        <f>(Tabela14[[#This Row],[REGIÃO02 - 3%]]*0.06)+Tabela14[[#This Row],[REGIÃO02 - 3%]]</f>
        <v>5.1309300000000002</v>
      </c>
      <c r="N350" s="51">
        <f>(Tabela14[[#This Row],[PRECO 3%]]*0.08)+Tabela14[[#This Row],[PRECO 3%]]</f>
        <v>4.9788000000000006</v>
      </c>
      <c r="O350" s="51">
        <f>(Tabela14[[#This Row],[REGIÃO03-3%]]*0.06)+Tabela14[[#This Row],[REGIÃO03-3%]]</f>
        <v>5.2775280000000002</v>
      </c>
      <c r="P350" s="52">
        <f>(Tabela14[[#This Row],[PRECO 3%]]*0.06)+Tabela14[[#This Row],[PRECO 3%]]</f>
        <v>4.8866000000000005</v>
      </c>
      <c r="Q350" s="34">
        <f>(Tabela14[[#This Row],[REGIÃO04-3%]]*0.06)+Tabela14[[#This Row],[REGIÃO04-3%]]</f>
        <v>5.1797960000000005</v>
      </c>
    </row>
    <row r="351" spans="1:17" x14ac:dyDescent="0.25">
      <c r="A351" s="6">
        <v>1787</v>
      </c>
      <c r="B351" s="6" t="s">
        <v>370</v>
      </c>
      <c r="C351" s="6" t="s">
        <v>371</v>
      </c>
      <c r="D351" s="6" t="s">
        <v>372</v>
      </c>
      <c r="E351" s="1" t="s">
        <v>373</v>
      </c>
      <c r="F351" t="s">
        <v>417</v>
      </c>
      <c r="H351" s="48">
        <v>4.6115999999999993</v>
      </c>
      <c r="I351" s="47">
        <f>Tabela14[[#This Row],[PRECO 3%]]+(Tabela14[[#This Row],[PRECO 3%]]*0.06)</f>
        <v>4.8882959999999995</v>
      </c>
      <c r="J351" s="49">
        <f>(Tabela14[[#This Row],[PRECO 3%]]*0.1)+Tabela14[[#This Row],[PRECO 3%]]</f>
        <v>5.0727599999999988</v>
      </c>
      <c r="K351" s="49">
        <f>(Tabela14[[#This Row],[REGIÃO01-3%]]*0.06)+Tabela14[[#This Row],[REGIÃO01-3%]]</f>
        <v>5.3771255999999985</v>
      </c>
      <c r="L351" s="50">
        <f>(Tabela14[[#This Row],[PRECO 3%]]*0.05)+Tabela14[[#This Row],[PRECO 3%]]</f>
        <v>4.842179999999999</v>
      </c>
      <c r="M351" s="50">
        <f>(Tabela14[[#This Row],[REGIÃO02 - 3%]]*0.06)+Tabela14[[#This Row],[REGIÃO02 - 3%]]</f>
        <v>5.132710799999999</v>
      </c>
      <c r="N351" s="51">
        <f>(Tabela14[[#This Row],[PRECO 3%]]*0.08)+Tabela14[[#This Row],[PRECO 3%]]</f>
        <v>4.9805279999999996</v>
      </c>
      <c r="O351" s="51">
        <f>(Tabela14[[#This Row],[REGIÃO03-3%]]*0.06)+Tabela14[[#This Row],[REGIÃO03-3%]]</f>
        <v>5.2793596799999998</v>
      </c>
      <c r="P351" s="52">
        <f>(Tabela14[[#This Row],[PRECO 3%]]*0.06)+Tabela14[[#This Row],[PRECO 3%]]</f>
        <v>4.8882959999999995</v>
      </c>
      <c r="Q351" s="34">
        <f>(Tabela14[[#This Row],[REGIÃO04-3%]]*0.06)+Tabela14[[#This Row],[REGIÃO04-3%]]</f>
        <v>5.1815937599999993</v>
      </c>
    </row>
    <row r="352" spans="1:17" x14ac:dyDescent="0.25">
      <c r="A352">
        <v>1797</v>
      </c>
      <c r="B352" s="6" t="s">
        <v>441</v>
      </c>
      <c r="C352" t="s">
        <v>13</v>
      </c>
      <c r="D352" s="6" t="s">
        <v>4</v>
      </c>
      <c r="F352">
        <f>VLOOKUP(Tabela14[[#This Row],[ID_COD]],Tabela2[],6,0)</f>
        <v>12</v>
      </c>
      <c r="G352" s="6" t="s">
        <v>441</v>
      </c>
      <c r="H352" s="2">
        <v>48.5</v>
      </c>
      <c r="I352" s="34">
        <f>Tabela14[[#This Row],[PRECO 3%]]+(Tabela14[[#This Row],[PRECO 3%]]*0.06)</f>
        <v>51.41</v>
      </c>
      <c r="J352" s="34"/>
      <c r="K352" s="34">
        <f>(Tabela14[[#This Row],[REGIÃO01-3%]]*0.06)+Tabela14[[#This Row],[REGIÃO01-3%]]</f>
        <v>0</v>
      </c>
      <c r="L352" s="34">
        <f>(Tabela14[[#This Row],[PRECO 3%]]*0.05)+Tabela14[[#This Row],[PRECO 3%]]</f>
        <v>50.924999999999997</v>
      </c>
      <c r="M352" s="34">
        <f>(Tabela14[[#This Row],[REGIÃO02 - 3%]]*0.06)+Tabela14[[#This Row],[REGIÃO02 - 3%]]</f>
        <v>53.980499999999999</v>
      </c>
      <c r="N352" s="34">
        <f>(Tabela14[[#This Row],[PRECO 3%]]*0.08)+Tabela14[[#This Row],[PRECO 3%]]</f>
        <v>52.38</v>
      </c>
      <c r="O352" s="34">
        <f>(Tabela14[[#This Row],[REGIÃO03-3%]]*0.06)+Tabela14[[#This Row],[REGIÃO03-3%]]</f>
        <v>55.522800000000004</v>
      </c>
      <c r="P352" s="34">
        <f>(Tabela14[[#This Row],[PRECO 3%]]*0.06)+Tabela14[[#This Row],[PRECO 3%]]</f>
        <v>51.41</v>
      </c>
      <c r="Q352" s="34">
        <f>(Tabela14[[#This Row],[REGIÃO04-3%]]*0.06)+Tabela14[[#This Row],[REGIÃO04-3%]]</f>
        <v>54.494599999999998</v>
      </c>
    </row>
    <row r="353" spans="1:17" x14ac:dyDescent="0.25">
      <c r="A353">
        <v>1819</v>
      </c>
      <c r="B353" s="6" t="s">
        <v>227</v>
      </c>
      <c r="C353" t="s">
        <v>26</v>
      </c>
      <c r="D353" s="6" t="s">
        <v>8</v>
      </c>
      <c r="E353">
        <v>210</v>
      </c>
      <c r="F353">
        <f>VLOOKUP(Tabela14[[#This Row],[ID_COD]],Tabela2[],6,0)</f>
        <v>36</v>
      </c>
      <c r="G353" s="6" t="s">
        <v>227</v>
      </c>
      <c r="H353" s="46">
        <v>16.87</v>
      </c>
      <c r="I353" s="47">
        <f>Tabela14[[#This Row],[PRECO 3%]]+(Tabela14[[#This Row],[PRECO 3%]]*0.06)</f>
        <v>17.882200000000001</v>
      </c>
      <c r="J353" s="49">
        <f>(Tabela14[[#This Row],[PRECO 3%]]*0.1)+Tabela14[[#This Row],[PRECO 3%]]</f>
        <v>18.557000000000002</v>
      </c>
      <c r="K353" s="49">
        <f>(Tabela14[[#This Row],[REGIÃO01-3%]]*0.06)+Tabela14[[#This Row],[REGIÃO01-3%]]</f>
        <v>19.670420000000004</v>
      </c>
      <c r="L353" s="50">
        <f>(Tabela14[[#This Row],[PRECO 3%]]*0.05)+Tabela14[[#This Row],[PRECO 3%]]</f>
        <v>17.7135</v>
      </c>
      <c r="M353" s="50">
        <f>(Tabela14[[#This Row],[REGIÃO02 - 3%]]*0.06)+Tabela14[[#This Row],[REGIÃO02 - 3%]]</f>
        <v>18.776309999999999</v>
      </c>
      <c r="N353" s="51">
        <f>(Tabela14[[#This Row],[PRECO 3%]]*0.08)+Tabela14[[#This Row],[PRECO 3%]]</f>
        <v>18.2196</v>
      </c>
      <c r="O353" s="51">
        <f>(Tabela14[[#This Row],[REGIÃO03-3%]]*0.06)+Tabela14[[#This Row],[REGIÃO03-3%]]</f>
        <v>19.312775999999999</v>
      </c>
      <c r="P353" s="52">
        <f>(Tabela14[[#This Row],[PRECO 3%]]*0.06)+Tabela14[[#This Row],[PRECO 3%]]</f>
        <v>17.882200000000001</v>
      </c>
      <c r="Q353" s="34">
        <f>(Tabela14[[#This Row],[REGIÃO04-3%]]*0.06)+Tabela14[[#This Row],[REGIÃO04-3%]]</f>
        <v>18.955132000000003</v>
      </c>
    </row>
    <row r="354" spans="1:17" x14ac:dyDescent="0.25">
      <c r="A354">
        <v>1822</v>
      </c>
      <c r="B354" s="6" t="s">
        <v>207</v>
      </c>
      <c r="C354" s="6" t="s">
        <v>24</v>
      </c>
      <c r="D354" s="6" t="s">
        <v>9</v>
      </c>
      <c r="E354">
        <v>380</v>
      </c>
      <c r="F354">
        <f>VLOOKUP(Tabela14[[#This Row],[ID_COD]],Tabela2[],6,0)</f>
        <v>20</v>
      </c>
      <c r="G354" s="6" t="s">
        <v>207</v>
      </c>
      <c r="H354" s="46">
        <v>24.51</v>
      </c>
      <c r="I354" s="47">
        <f>Tabela14[[#This Row],[PRECO 3%]]+(Tabela14[[#This Row],[PRECO 3%]]*0.06)</f>
        <v>25.980600000000003</v>
      </c>
      <c r="J354" s="49">
        <f>(Tabela14[[#This Row],[PRECO 3%]]*0.1)+Tabela14[[#This Row],[PRECO 3%]]</f>
        <v>26.961000000000002</v>
      </c>
      <c r="K354" s="49">
        <f>(Tabela14[[#This Row],[REGIÃO01-3%]]*0.06)+Tabela14[[#This Row],[REGIÃO01-3%]]</f>
        <v>28.578660000000003</v>
      </c>
      <c r="L354" s="50">
        <f>(Tabela14[[#This Row],[PRECO 3%]]*0.05)+Tabela14[[#This Row],[PRECO 3%]]</f>
        <v>25.735500000000002</v>
      </c>
      <c r="M354" s="50">
        <f>(Tabela14[[#This Row],[REGIÃO02 - 3%]]*0.06)+Tabela14[[#This Row],[REGIÃO02 - 3%]]</f>
        <v>27.279630000000001</v>
      </c>
      <c r="N354" s="51">
        <f>(Tabela14[[#This Row],[PRECO 3%]]*0.08)+Tabela14[[#This Row],[PRECO 3%]]</f>
        <v>26.470800000000001</v>
      </c>
      <c r="O354" s="51">
        <f>(Tabela14[[#This Row],[REGIÃO03-3%]]*0.06)+Tabela14[[#This Row],[REGIÃO03-3%]]</f>
        <v>28.059048000000001</v>
      </c>
      <c r="P354" s="52">
        <f>(Tabela14[[#This Row],[PRECO 3%]]*0.06)+Tabela14[[#This Row],[PRECO 3%]]</f>
        <v>25.980600000000003</v>
      </c>
      <c r="Q354" s="34">
        <f>(Tabela14[[#This Row],[REGIÃO04-3%]]*0.06)+Tabela14[[#This Row],[REGIÃO04-3%]]</f>
        <v>27.539436000000002</v>
      </c>
    </row>
    <row r="355" spans="1:17" x14ac:dyDescent="0.25">
      <c r="A355" s="6">
        <v>1960</v>
      </c>
      <c r="B355" t="s">
        <v>21</v>
      </c>
      <c r="C355" t="s">
        <v>22</v>
      </c>
      <c r="D355" t="s">
        <v>9</v>
      </c>
      <c r="E355" s="3">
        <v>1460</v>
      </c>
      <c r="F355">
        <v>7</v>
      </c>
      <c r="G355" t="s">
        <v>187</v>
      </c>
      <c r="H355" s="46">
        <v>94.88</v>
      </c>
      <c r="I355" s="47">
        <f>Tabela14[[#This Row],[PRECO 3%]]+(Tabela14[[#This Row],[PRECO 3%]]*0.06)</f>
        <v>100.5728</v>
      </c>
      <c r="J355" s="49">
        <f>(Tabela14[[#This Row],[PRECO 3%]]*0.1)+Tabela14[[#This Row],[PRECO 3%]]</f>
        <v>104.36799999999999</v>
      </c>
      <c r="K355" s="49">
        <f>(Tabela14[[#This Row],[REGIÃO01-3%]]*0.06)+Tabela14[[#This Row],[REGIÃO01-3%]]</f>
        <v>110.63007999999999</v>
      </c>
      <c r="L355" s="50">
        <f>(Tabela14[[#This Row],[PRECO 3%]]*0.05)+Tabela14[[#This Row],[PRECO 3%]]</f>
        <v>99.623999999999995</v>
      </c>
      <c r="M355" s="50">
        <f>(Tabela14[[#This Row],[REGIÃO02 - 3%]]*0.06)+Tabela14[[#This Row],[REGIÃO02 - 3%]]</f>
        <v>105.60144</v>
      </c>
      <c r="N355" s="51">
        <f>(Tabela14[[#This Row],[PRECO 3%]]*0.08)+Tabela14[[#This Row],[PRECO 3%]]</f>
        <v>102.4704</v>
      </c>
      <c r="O355" s="51">
        <f>(Tabela14[[#This Row],[REGIÃO03-3%]]*0.06)+Tabela14[[#This Row],[REGIÃO03-3%]]</f>
        <v>108.618624</v>
      </c>
      <c r="P355" s="52">
        <f>(Tabela14[[#This Row],[PRECO 3%]]*0.06)+Tabela14[[#This Row],[PRECO 3%]]</f>
        <v>100.5728</v>
      </c>
      <c r="Q355" s="34">
        <f>(Tabela14[[#This Row],[REGIÃO04-3%]]*0.06)+Tabela14[[#This Row],[REGIÃO04-3%]]</f>
        <v>106.607168</v>
      </c>
    </row>
    <row r="356" spans="1:17" x14ac:dyDescent="0.25">
      <c r="A356" s="6">
        <v>1961</v>
      </c>
      <c r="B356" t="s">
        <v>23</v>
      </c>
      <c r="C356" t="s">
        <v>24</v>
      </c>
      <c r="D356" s="6" t="s">
        <v>411</v>
      </c>
      <c r="E356" s="3">
        <v>1530</v>
      </c>
      <c r="F356">
        <v>7</v>
      </c>
      <c r="G356" t="s">
        <v>207</v>
      </c>
      <c r="H356" s="46">
        <v>98.7</v>
      </c>
      <c r="I356" s="47">
        <f>Tabela14[[#This Row],[PRECO 3%]]+(Tabela14[[#This Row],[PRECO 3%]]*0.06)</f>
        <v>104.622</v>
      </c>
      <c r="J356" s="49">
        <f>(Tabela14[[#This Row],[PRECO 3%]]*0.1)+Tabela14[[#This Row],[PRECO 3%]]</f>
        <v>108.57000000000001</v>
      </c>
      <c r="K356" s="49">
        <f>(Tabela14[[#This Row],[REGIÃO01-3%]]*0.06)+Tabela14[[#This Row],[REGIÃO01-3%]]</f>
        <v>115.08420000000001</v>
      </c>
      <c r="L356" s="50">
        <f>(Tabela14[[#This Row],[PRECO 3%]]*0.05)+Tabela14[[#This Row],[PRECO 3%]]</f>
        <v>103.63500000000001</v>
      </c>
      <c r="M356" s="50">
        <f>(Tabela14[[#This Row],[REGIÃO02 - 3%]]*0.06)+Tabela14[[#This Row],[REGIÃO02 - 3%]]</f>
        <v>109.85310000000001</v>
      </c>
      <c r="N356" s="51">
        <f>(Tabela14[[#This Row],[PRECO 3%]]*0.08)+Tabela14[[#This Row],[PRECO 3%]]</f>
        <v>106.596</v>
      </c>
      <c r="O356" s="51">
        <f>(Tabela14[[#This Row],[REGIÃO03-3%]]*0.06)+Tabela14[[#This Row],[REGIÃO03-3%]]</f>
        <v>112.99176</v>
      </c>
      <c r="P356" s="52">
        <f>(Tabela14[[#This Row],[PRECO 3%]]*0.06)+Tabela14[[#This Row],[PRECO 3%]]</f>
        <v>104.622</v>
      </c>
      <c r="Q356" s="34">
        <f>(Tabela14[[#This Row],[REGIÃO04-3%]]*0.06)+Tabela14[[#This Row],[REGIÃO04-3%]]</f>
        <v>110.89932</v>
      </c>
    </row>
    <row r="357" spans="1:17" x14ac:dyDescent="0.25">
      <c r="A357" s="6">
        <v>1962</v>
      </c>
      <c r="B357" t="s">
        <v>25</v>
      </c>
      <c r="C357" t="s">
        <v>26</v>
      </c>
      <c r="D357" t="s">
        <v>9</v>
      </c>
      <c r="E357" s="3">
        <v>1650</v>
      </c>
      <c r="F357">
        <v>7</v>
      </c>
      <c r="G357" t="s">
        <v>227</v>
      </c>
      <c r="H357" s="46">
        <v>107.44</v>
      </c>
      <c r="I357" s="47">
        <f>Tabela14[[#This Row],[PRECO 3%]]+(Tabela14[[#This Row],[PRECO 3%]]*0.06)</f>
        <v>113.88639999999999</v>
      </c>
      <c r="J357" s="49">
        <f>(Tabela14[[#This Row],[PRECO 3%]]*0.1)+Tabela14[[#This Row],[PRECO 3%]]</f>
        <v>118.184</v>
      </c>
      <c r="K357" s="49">
        <f>(Tabela14[[#This Row],[REGIÃO01-3%]]*0.06)+Tabela14[[#This Row],[REGIÃO01-3%]]</f>
        <v>125.27503999999999</v>
      </c>
      <c r="L357" s="50">
        <f>(Tabela14[[#This Row],[PRECO 3%]]*0.05)+Tabela14[[#This Row],[PRECO 3%]]</f>
        <v>112.812</v>
      </c>
      <c r="M357" s="50">
        <f>(Tabela14[[#This Row],[REGIÃO02 - 3%]]*0.06)+Tabela14[[#This Row],[REGIÃO02 - 3%]]</f>
        <v>119.58072</v>
      </c>
      <c r="N357" s="51">
        <f>(Tabela14[[#This Row],[PRECO 3%]]*0.08)+Tabela14[[#This Row],[PRECO 3%]]</f>
        <v>116.0352</v>
      </c>
      <c r="O357" s="51">
        <f>(Tabela14[[#This Row],[REGIÃO03-3%]]*0.06)+Tabela14[[#This Row],[REGIÃO03-3%]]</f>
        <v>122.99731200000001</v>
      </c>
      <c r="P357" s="52">
        <f>(Tabela14[[#This Row],[PRECO 3%]]*0.06)+Tabela14[[#This Row],[PRECO 3%]]</f>
        <v>113.88639999999999</v>
      </c>
      <c r="Q357" s="34">
        <f>(Tabela14[[#This Row],[REGIÃO04-3%]]*0.06)+Tabela14[[#This Row],[REGIÃO04-3%]]</f>
        <v>120.719584</v>
      </c>
    </row>
    <row r="358" spans="1:17" x14ac:dyDescent="0.25">
      <c r="A358" s="6">
        <v>1963</v>
      </c>
      <c r="B358" s="6" t="s">
        <v>394</v>
      </c>
      <c r="C358" s="6" t="s">
        <v>374</v>
      </c>
      <c r="D358" s="6" t="s">
        <v>372</v>
      </c>
      <c r="E358" s="1" t="s">
        <v>386</v>
      </c>
      <c r="F358" t="s">
        <v>417</v>
      </c>
      <c r="H358" s="22">
        <v>4.8600000000000003</v>
      </c>
      <c r="I358" s="34">
        <f>Tabela14[[#This Row],[PRECO 3%]]+(Tabela14[[#This Row],[PRECO 3%]]*0.06)</f>
        <v>5.1516000000000002</v>
      </c>
      <c r="J358" s="34"/>
      <c r="K358" s="34">
        <f>(Tabela14[[#This Row],[REGIÃO01-3%]]*0.06)+Tabela14[[#This Row],[REGIÃO01-3%]]</f>
        <v>0</v>
      </c>
      <c r="L358" s="34">
        <f>(Tabela14[[#This Row],[PRECO 3%]]*0.05)+Tabela14[[#This Row],[PRECO 3%]]</f>
        <v>5.1030000000000006</v>
      </c>
      <c r="M358" s="34">
        <f>(Tabela14[[#This Row],[REGIÃO02 - 3%]]*0.06)+Tabela14[[#This Row],[REGIÃO02 - 3%]]</f>
        <v>5.409180000000001</v>
      </c>
      <c r="N358" s="34">
        <f>(Tabela14[[#This Row],[PRECO 3%]]*0.08)+Tabela14[[#This Row],[PRECO 3%]]</f>
        <v>5.2488000000000001</v>
      </c>
      <c r="O358" s="34">
        <f>(Tabela14[[#This Row],[REGIÃO03-3%]]*0.06)+Tabela14[[#This Row],[REGIÃO03-3%]]</f>
        <v>5.5637280000000002</v>
      </c>
      <c r="P358" s="34">
        <f>(Tabela14[[#This Row],[PRECO 3%]]*0.06)+Tabela14[[#This Row],[PRECO 3%]]</f>
        <v>5.1516000000000002</v>
      </c>
      <c r="Q358" s="34">
        <f>(Tabela14[[#This Row],[REGIÃO04-3%]]*0.06)+Tabela14[[#This Row],[REGIÃO04-3%]]</f>
        <v>5.4606960000000004</v>
      </c>
    </row>
    <row r="359" spans="1:17" x14ac:dyDescent="0.25">
      <c r="A359" s="6">
        <v>1964</v>
      </c>
      <c r="B359" s="6" t="s">
        <v>394</v>
      </c>
      <c r="C359" s="6" t="s">
        <v>376</v>
      </c>
      <c r="D359" s="6" t="s">
        <v>372</v>
      </c>
      <c r="E359" s="1" t="s">
        <v>378</v>
      </c>
      <c r="F359" t="s">
        <v>417</v>
      </c>
      <c r="H359" s="22">
        <v>6.0156000000000001</v>
      </c>
      <c r="I359" s="34">
        <f>Tabela14[[#This Row],[PRECO 3%]]+(Tabela14[[#This Row],[PRECO 3%]]*0.06)</f>
        <v>6.3765359999999998</v>
      </c>
      <c r="J359" s="34"/>
      <c r="K359" s="34">
        <f>(Tabela14[[#This Row],[REGIÃO01-3%]]*0.06)+Tabela14[[#This Row],[REGIÃO01-3%]]</f>
        <v>0</v>
      </c>
      <c r="L359" s="34">
        <f>(Tabela14[[#This Row],[PRECO 3%]]*0.05)+Tabela14[[#This Row],[PRECO 3%]]</f>
        <v>6.3163800000000005</v>
      </c>
      <c r="M359" s="34">
        <f>(Tabela14[[#This Row],[REGIÃO02 - 3%]]*0.06)+Tabela14[[#This Row],[REGIÃO02 - 3%]]</f>
        <v>6.6953628000000007</v>
      </c>
      <c r="N359" s="34">
        <f>(Tabela14[[#This Row],[PRECO 3%]]*0.08)+Tabela14[[#This Row],[PRECO 3%]]</f>
        <v>6.496848</v>
      </c>
      <c r="O359" s="34">
        <f>(Tabela14[[#This Row],[REGIÃO03-3%]]*0.06)+Tabela14[[#This Row],[REGIÃO03-3%]]</f>
        <v>6.8866588799999997</v>
      </c>
      <c r="P359" s="34">
        <f>(Tabela14[[#This Row],[PRECO 3%]]*0.06)+Tabela14[[#This Row],[PRECO 3%]]</f>
        <v>6.3765359999999998</v>
      </c>
      <c r="Q359" s="34">
        <f>(Tabela14[[#This Row],[REGIÃO04-3%]]*0.06)+Tabela14[[#This Row],[REGIÃO04-3%]]</f>
        <v>6.7591281599999995</v>
      </c>
    </row>
    <row r="360" spans="1:17" x14ac:dyDescent="0.25">
      <c r="A360" s="6">
        <v>1965</v>
      </c>
      <c r="B360" s="6" t="s">
        <v>394</v>
      </c>
      <c r="C360" s="6" t="s">
        <v>377</v>
      </c>
      <c r="D360" s="6" t="s">
        <v>372</v>
      </c>
      <c r="E360" s="1" t="s">
        <v>427</v>
      </c>
      <c r="F360" t="s">
        <v>417</v>
      </c>
      <c r="H360" s="22">
        <v>6.8903999999999996</v>
      </c>
      <c r="I360" s="34">
        <f>Tabela14[[#This Row],[PRECO 3%]]+(Tabela14[[#This Row],[PRECO 3%]]*0.06)</f>
        <v>7.3038239999999996</v>
      </c>
      <c r="J360" s="34"/>
      <c r="K360" s="34">
        <f>(Tabela14[[#This Row],[REGIÃO01-3%]]*0.06)+Tabela14[[#This Row],[REGIÃO01-3%]]</f>
        <v>0</v>
      </c>
      <c r="L360" s="34">
        <f>(Tabela14[[#This Row],[PRECO 3%]]*0.05)+Tabela14[[#This Row],[PRECO 3%]]</f>
        <v>7.2349199999999998</v>
      </c>
      <c r="M360" s="34">
        <f>(Tabela14[[#This Row],[REGIÃO02 - 3%]]*0.06)+Tabela14[[#This Row],[REGIÃO02 - 3%]]</f>
        <v>7.6690151999999996</v>
      </c>
      <c r="N360" s="34">
        <f>(Tabela14[[#This Row],[PRECO 3%]]*0.08)+Tabela14[[#This Row],[PRECO 3%]]</f>
        <v>7.4416319999999994</v>
      </c>
      <c r="O360" s="34">
        <f>(Tabela14[[#This Row],[REGIÃO03-3%]]*0.06)+Tabela14[[#This Row],[REGIÃO03-3%]]</f>
        <v>7.888129919999999</v>
      </c>
      <c r="P360" s="34">
        <f>(Tabela14[[#This Row],[PRECO 3%]]*0.06)+Tabela14[[#This Row],[PRECO 3%]]</f>
        <v>7.3038239999999996</v>
      </c>
      <c r="Q360" s="34">
        <f>(Tabela14[[#This Row],[REGIÃO04-3%]]*0.06)+Tabela14[[#This Row],[REGIÃO04-3%]]</f>
        <v>7.7420534399999994</v>
      </c>
    </row>
    <row r="361" spans="1:17" x14ac:dyDescent="0.25">
      <c r="A361" s="6">
        <v>1966</v>
      </c>
      <c r="B361" s="6" t="s">
        <v>394</v>
      </c>
      <c r="C361" s="6" t="s">
        <v>379</v>
      </c>
      <c r="D361" s="6" t="s">
        <v>372</v>
      </c>
      <c r="E361" s="1" t="s">
        <v>428</v>
      </c>
      <c r="F361" t="s">
        <v>417</v>
      </c>
      <c r="H361" s="22">
        <v>8.8452000000000002</v>
      </c>
      <c r="I361" s="34">
        <f>Tabela14[[#This Row],[PRECO 3%]]+(Tabela14[[#This Row],[PRECO 3%]]*0.06)</f>
        <v>9.3759119999999996</v>
      </c>
      <c r="J361" s="34"/>
      <c r="K361" s="34">
        <f>(Tabela14[[#This Row],[REGIÃO01-3%]]*0.06)+Tabela14[[#This Row],[REGIÃO01-3%]]</f>
        <v>0</v>
      </c>
      <c r="L361" s="34">
        <f>(Tabela14[[#This Row],[PRECO 3%]]*0.05)+Tabela14[[#This Row],[PRECO 3%]]</f>
        <v>9.2874599999999994</v>
      </c>
      <c r="M361" s="34">
        <f>(Tabela14[[#This Row],[REGIÃO02 - 3%]]*0.06)+Tabela14[[#This Row],[REGIÃO02 - 3%]]</f>
        <v>9.8447075999999996</v>
      </c>
      <c r="N361" s="34">
        <f>(Tabela14[[#This Row],[PRECO 3%]]*0.08)+Tabela14[[#This Row],[PRECO 3%]]</f>
        <v>9.552816</v>
      </c>
      <c r="O361" s="34">
        <f>(Tabela14[[#This Row],[REGIÃO03-3%]]*0.06)+Tabela14[[#This Row],[REGIÃO03-3%]]</f>
        <v>10.12598496</v>
      </c>
      <c r="P361" s="34">
        <f>(Tabela14[[#This Row],[PRECO 3%]]*0.06)+Tabela14[[#This Row],[PRECO 3%]]</f>
        <v>9.3759119999999996</v>
      </c>
      <c r="Q361" s="34">
        <f>(Tabela14[[#This Row],[REGIÃO04-3%]]*0.06)+Tabela14[[#This Row],[REGIÃO04-3%]]</f>
        <v>9.9384667199999992</v>
      </c>
    </row>
    <row r="362" spans="1:17" x14ac:dyDescent="0.25">
      <c r="A362" s="6">
        <v>1967</v>
      </c>
      <c r="B362" s="6" t="s">
        <v>394</v>
      </c>
      <c r="C362" s="6" t="s">
        <v>381</v>
      </c>
      <c r="D362" s="6" t="s">
        <v>372</v>
      </c>
      <c r="E362" s="1" t="s">
        <v>429</v>
      </c>
      <c r="F362" t="s">
        <v>417</v>
      </c>
      <c r="H362" s="22">
        <v>13.186800000000002</v>
      </c>
      <c r="I362" s="34">
        <f>Tabela14[[#This Row],[PRECO 3%]]+(Tabela14[[#This Row],[PRECO 3%]]*0.06)</f>
        <v>13.978008000000001</v>
      </c>
      <c r="J362" s="34"/>
      <c r="K362" s="34">
        <f>(Tabela14[[#This Row],[REGIÃO01-3%]]*0.06)+Tabela14[[#This Row],[REGIÃO01-3%]]</f>
        <v>0</v>
      </c>
      <c r="L362" s="34">
        <f>(Tabela14[[#This Row],[PRECO 3%]]*0.05)+Tabela14[[#This Row],[PRECO 3%]]</f>
        <v>13.846140000000002</v>
      </c>
      <c r="M362" s="34">
        <f>(Tabela14[[#This Row],[REGIÃO02 - 3%]]*0.06)+Tabela14[[#This Row],[REGIÃO02 - 3%]]</f>
        <v>14.676908400000002</v>
      </c>
      <c r="N362" s="34">
        <f>(Tabela14[[#This Row],[PRECO 3%]]*0.08)+Tabela14[[#This Row],[PRECO 3%]]</f>
        <v>14.241744000000002</v>
      </c>
      <c r="O362" s="34">
        <f>(Tabela14[[#This Row],[REGIÃO03-3%]]*0.06)+Tabela14[[#This Row],[REGIÃO03-3%]]</f>
        <v>15.096248640000002</v>
      </c>
      <c r="P362" s="34">
        <f>(Tabela14[[#This Row],[PRECO 3%]]*0.06)+Tabela14[[#This Row],[PRECO 3%]]</f>
        <v>13.978008000000001</v>
      </c>
      <c r="Q362" s="34">
        <f>(Tabela14[[#This Row],[REGIÃO04-3%]]*0.06)+Tabela14[[#This Row],[REGIÃO04-3%]]</f>
        <v>14.816688480000002</v>
      </c>
    </row>
    <row r="363" spans="1:17" x14ac:dyDescent="0.25">
      <c r="A363" s="6">
        <v>1968</v>
      </c>
      <c r="B363" s="6" t="s">
        <v>394</v>
      </c>
      <c r="C363" s="6" t="s">
        <v>385</v>
      </c>
      <c r="D363" s="6" t="s">
        <v>372</v>
      </c>
      <c r="E363" s="1" t="s">
        <v>430</v>
      </c>
      <c r="F363" t="s">
        <v>417</v>
      </c>
      <c r="H363" s="22">
        <v>6.7284000000000006</v>
      </c>
      <c r="I363" s="34">
        <f>Tabela14[[#This Row],[PRECO 3%]]+(Tabela14[[#This Row],[PRECO 3%]]*0.06)</f>
        <v>7.1321040000000009</v>
      </c>
      <c r="J363" s="34"/>
      <c r="K363" s="34">
        <f>(Tabela14[[#This Row],[REGIÃO01-3%]]*0.06)+Tabela14[[#This Row],[REGIÃO01-3%]]</f>
        <v>0</v>
      </c>
      <c r="L363" s="34">
        <f>(Tabela14[[#This Row],[PRECO 3%]]*0.05)+Tabela14[[#This Row],[PRECO 3%]]</f>
        <v>7.064820000000001</v>
      </c>
      <c r="M363" s="34">
        <f>(Tabela14[[#This Row],[REGIÃO02 - 3%]]*0.06)+Tabela14[[#This Row],[REGIÃO02 - 3%]]</f>
        <v>7.4887092000000006</v>
      </c>
      <c r="N363" s="34">
        <f>(Tabela14[[#This Row],[PRECO 3%]]*0.08)+Tabela14[[#This Row],[PRECO 3%]]</f>
        <v>7.2666720000000007</v>
      </c>
      <c r="O363" s="34">
        <f>(Tabela14[[#This Row],[REGIÃO03-3%]]*0.06)+Tabela14[[#This Row],[REGIÃO03-3%]]</f>
        <v>7.7026723200000005</v>
      </c>
      <c r="P363" s="34">
        <f>(Tabela14[[#This Row],[PRECO 3%]]*0.06)+Tabela14[[#This Row],[PRECO 3%]]</f>
        <v>7.1321040000000009</v>
      </c>
      <c r="Q363" s="34">
        <f>(Tabela14[[#This Row],[REGIÃO04-3%]]*0.06)+Tabela14[[#This Row],[REGIÃO04-3%]]</f>
        <v>7.5600302400000006</v>
      </c>
    </row>
    <row r="364" spans="1:17" x14ac:dyDescent="0.25">
      <c r="A364" s="6">
        <v>1969</v>
      </c>
      <c r="B364" s="6" t="s">
        <v>394</v>
      </c>
      <c r="C364" s="6" t="s">
        <v>387</v>
      </c>
      <c r="D364" s="6" t="s">
        <v>372</v>
      </c>
      <c r="E364" s="1" t="s">
        <v>391</v>
      </c>
      <c r="F364" t="s">
        <v>417</v>
      </c>
      <c r="H364" s="22">
        <v>8.2835999999999999</v>
      </c>
      <c r="I364" s="34">
        <f>Tabela14[[#This Row],[PRECO 3%]]+(Tabela14[[#This Row],[PRECO 3%]]*0.06)</f>
        <v>8.7806160000000002</v>
      </c>
      <c r="J364" s="34"/>
      <c r="K364" s="34">
        <f>(Tabela14[[#This Row],[REGIÃO01-3%]]*0.06)+Tabela14[[#This Row],[REGIÃO01-3%]]</f>
        <v>0</v>
      </c>
      <c r="L364" s="34">
        <f>(Tabela14[[#This Row],[PRECO 3%]]*0.05)+Tabela14[[#This Row],[PRECO 3%]]</f>
        <v>8.6977799999999998</v>
      </c>
      <c r="M364" s="34">
        <f>(Tabela14[[#This Row],[REGIÃO02 - 3%]]*0.06)+Tabela14[[#This Row],[REGIÃO02 - 3%]]</f>
        <v>9.2196467999999996</v>
      </c>
      <c r="N364" s="34">
        <f>(Tabela14[[#This Row],[PRECO 3%]]*0.08)+Tabela14[[#This Row],[PRECO 3%]]</f>
        <v>8.9462879999999991</v>
      </c>
      <c r="O364" s="34">
        <f>(Tabela14[[#This Row],[REGIÃO03-3%]]*0.06)+Tabela14[[#This Row],[REGIÃO03-3%]]</f>
        <v>9.4830652799999982</v>
      </c>
      <c r="P364" s="34">
        <f>(Tabela14[[#This Row],[PRECO 3%]]*0.06)+Tabela14[[#This Row],[PRECO 3%]]</f>
        <v>8.7806160000000002</v>
      </c>
      <c r="Q364" s="34">
        <f>(Tabela14[[#This Row],[REGIÃO04-3%]]*0.06)+Tabela14[[#This Row],[REGIÃO04-3%]]</f>
        <v>9.3074529600000009</v>
      </c>
    </row>
    <row r="365" spans="1:17" x14ac:dyDescent="0.25">
      <c r="A365" s="6">
        <v>1970</v>
      </c>
      <c r="B365" s="6" t="s">
        <v>394</v>
      </c>
      <c r="C365" s="6" t="s">
        <v>388</v>
      </c>
      <c r="D365" s="6" t="s">
        <v>372</v>
      </c>
      <c r="E365" s="1" t="s">
        <v>428</v>
      </c>
      <c r="F365" t="s">
        <v>417</v>
      </c>
      <c r="H365" s="22">
        <v>9.8064</v>
      </c>
      <c r="I365" s="34">
        <f>Tabela14[[#This Row],[PRECO 3%]]+(Tabela14[[#This Row],[PRECO 3%]]*0.06)</f>
        <v>10.394784</v>
      </c>
      <c r="J365" s="34"/>
      <c r="K365" s="34">
        <f>(Tabela14[[#This Row],[REGIÃO01-3%]]*0.06)+Tabela14[[#This Row],[REGIÃO01-3%]]</f>
        <v>0</v>
      </c>
      <c r="L365" s="34">
        <f>(Tabela14[[#This Row],[PRECO 3%]]*0.05)+Tabela14[[#This Row],[PRECO 3%]]</f>
        <v>10.296720000000001</v>
      </c>
      <c r="M365" s="34">
        <f>(Tabela14[[#This Row],[REGIÃO02 - 3%]]*0.06)+Tabela14[[#This Row],[REGIÃO02 - 3%]]</f>
        <v>10.914523200000001</v>
      </c>
      <c r="N365" s="34">
        <f>(Tabela14[[#This Row],[PRECO 3%]]*0.08)+Tabela14[[#This Row],[PRECO 3%]]</f>
        <v>10.590911999999999</v>
      </c>
      <c r="O365" s="34">
        <f>(Tabela14[[#This Row],[REGIÃO03-3%]]*0.06)+Tabela14[[#This Row],[REGIÃO03-3%]]</f>
        <v>11.22636672</v>
      </c>
      <c r="P365" s="34">
        <f>(Tabela14[[#This Row],[PRECO 3%]]*0.06)+Tabela14[[#This Row],[PRECO 3%]]</f>
        <v>10.394784</v>
      </c>
      <c r="Q365" s="34">
        <f>(Tabela14[[#This Row],[REGIÃO04-3%]]*0.06)+Tabela14[[#This Row],[REGIÃO04-3%]]</f>
        <v>11.01847104</v>
      </c>
    </row>
    <row r="366" spans="1:17" x14ac:dyDescent="0.25">
      <c r="A366" s="6">
        <v>1971</v>
      </c>
      <c r="B366" s="6" t="s">
        <v>394</v>
      </c>
      <c r="C366" s="6" t="s">
        <v>390</v>
      </c>
      <c r="D366" s="6" t="s">
        <v>372</v>
      </c>
      <c r="E366" s="1" t="s">
        <v>431</v>
      </c>
      <c r="F366" t="s">
        <v>417</v>
      </c>
      <c r="H366" s="22">
        <v>12.6036</v>
      </c>
      <c r="I366" s="34">
        <f>Tabela14[[#This Row],[PRECO 3%]]+(Tabela14[[#This Row],[PRECO 3%]]*0.06)</f>
        <v>13.359816</v>
      </c>
      <c r="J366" s="34"/>
      <c r="K366" s="34">
        <f>(Tabela14[[#This Row],[REGIÃO01-3%]]*0.06)+Tabela14[[#This Row],[REGIÃO01-3%]]</f>
        <v>0</v>
      </c>
      <c r="L366" s="34">
        <f>(Tabela14[[#This Row],[PRECO 3%]]*0.05)+Tabela14[[#This Row],[PRECO 3%]]</f>
        <v>13.233779999999999</v>
      </c>
      <c r="M366" s="34">
        <f>(Tabela14[[#This Row],[REGIÃO02 - 3%]]*0.06)+Tabela14[[#This Row],[REGIÃO02 - 3%]]</f>
        <v>14.027806799999999</v>
      </c>
      <c r="N366" s="34">
        <f>(Tabela14[[#This Row],[PRECO 3%]]*0.08)+Tabela14[[#This Row],[PRECO 3%]]</f>
        <v>13.611888</v>
      </c>
      <c r="O366" s="34">
        <f>(Tabela14[[#This Row],[REGIÃO03-3%]]*0.06)+Tabela14[[#This Row],[REGIÃO03-3%]]</f>
        <v>14.428601280000001</v>
      </c>
      <c r="P366" s="34">
        <f>(Tabela14[[#This Row],[PRECO 3%]]*0.06)+Tabela14[[#This Row],[PRECO 3%]]</f>
        <v>13.359816</v>
      </c>
      <c r="Q366" s="34">
        <f>(Tabela14[[#This Row],[REGIÃO04-3%]]*0.06)+Tabela14[[#This Row],[REGIÃO04-3%]]</f>
        <v>14.16140496</v>
      </c>
    </row>
    <row r="367" spans="1:17" x14ac:dyDescent="0.25">
      <c r="A367" s="19">
        <v>1972</v>
      </c>
      <c r="B367" s="19" t="s">
        <v>394</v>
      </c>
      <c r="C367" s="19" t="s">
        <v>392</v>
      </c>
      <c r="D367" s="19" t="s">
        <v>372</v>
      </c>
      <c r="E367" s="20" t="s">
        <v>432</v>
      </c>
      <c r="F367" s="21" t="s">
        <v>417</v>
      </c>
      <c r="G367" s="21"/>
      <c r="H367" s="22">
        <v>18.176399999999997</v>
      </c>
      <c r="I367" s="34">
        <f>Tabela14[[#This Row],[PRECO 3%]]+(Tabela14[[#This Row],[PRECO 3%]]*0.06)</f>
        <v>19.266983999999997</v>
      </c>
      <c r="J367" s="34"/>
      <c r="K367" s="34">
        <f>(Tabela14[[#This Row],[REGIÃO01-3%]]*0.06)+Tabela14[[#This Row],[REGIÃO01-3%]]</f>
        <v>0</v>
      </c>
      <c r="L367" s="34">
        <f>(Tabela14[[#This Row],[PRECO 3%]]*0.05)+Tabela14[[#This Row],[PRECO 3%]]</f>
        <v>19.085219999999996</v>
      </c>
      <c r="M367" s="34">
        <f>(Tabela14[[#This Row],[REGIÃO02 - 3%]]*0.06)+Tabela14[[#This Row],[REGIÃO02 - 3%]]</f>
        <v>20.230333199999997</v>
      </c>
      <c r="N367" s="34">
        <f>(Tabela14[[#This Row],[PRECO 3%]]*0.08)+Tabela14[[#This Row],[PRECO 3%]]</f>
        <v>19.630511999999996</v>
      </c>
      <c r="O367" s="34">
        <f>(Tabela14[[#This Row],[REGIÃO03-3%]]*0.06)+Tabela14[[#This Row],[REGIÃO03-3%]]</f>
        <v>20.808342719999995</v>
      </c>
      <c r="P367" s="34">
        <f>(Tabela14[[#This Row],[PRECO 3%]]*0.06)+Tabela14[[#This Row],[PRECO 3%]]</f>
        <v>19.266983999999997</v>
      </c>
      <c r="Q367" s="34">
        <f>(Tabela14[[#This Row],[REGIÃO04-3%]]*0.06)+Tabela14[[#This Row],[REGIÃO04-3%]]</f>
        <v>20.423003039999998</v>
      </c>
    </row>
    <row r="368" spans="1:17" x14ac:dyDescent="0.25">
      <c r="A368" s="6">
        <v>1973</v>
      </c>
      <c r="B368" s="6" t="s">
        <v>370</v>
      </c>
      <c r="C368" s="6" t="s">
        <v>383</v>
      </c>
      <c r="D368" s="6" t="s">
        <v>372</v>
      </c>
      <c r="E368" s="1" t="s">
        <v>384</v>
      </c>
      <c r="F368" t="s">
        <v>4</v>
      </c>
      <c r="H368" s="26">
        <v>5.3567999999999998</v>
      </c>
      <c r="I368" s="34">
        <f>Tabela14[[#This Row],[PRECO 3%]]+(Tabela14[[#This Row],[PRECO 3%]]*0.06)</f>
        <v>5.6782079999999997</v>
      </c>
      <c r="J368" s="34"/>
      <c r="K368" s="34">
        <f>(Tabela14[[#This Row],[REGIÃO01-3%]]*0.06)+Tabela14[[#This Row],[REGIÃO01-3%]]</f>
        <v>0</v>
      </c>
      <c r="L368" s="34">
        <f>(Tabela14[[#This Row],[PRECO 3%]]*0.05)+Tabela14[[#This Row],[PRECO 3%]]</f>
        <v>5.6246399999999994</v>
      </c>
      <c r="M368" s="34">
        <f>(Tabela14[[#This Row],[REGIÃO02 - 3%]]*0.06)+Tabela14[[#This Row],[REGIÃO02 - 3%]]</f>
        <v>5.9621183999999996</v>
      </c>
      <c r="N368" s="34">
        <f>(Tabela14[[#This Row],[PRECO 3%]]*0.08)+Tabela14[[#This Row],[PRECO 3%]]</f>
        <v>5.7853439999999994</v>
      </c>
      <c r="O368" s="34">
        <f>(Tabela14[[#This Row],[REGIÃO03-3%]]*0.06)+Tabela14[[#This Row],[REGIÃO03-3%]]</f>
        <v>6.1324646399999994</v>
      </c>
      <c r="P368" s="34">
        <f>(Tabela14[[#This Row],[PRECO 3%]]*0.06)+Tabela14[[#This Row],[PRECO 3%]]</f>
        <v>5.6782079999999997</v>
      </c>
      <c r="Q368" s="34">
        <f>(Tabela14[[#This Row],[REGIÃO04-3%]]*0.06)+Tabela14[[#This Row],[REGIÃO04-3%]]</f>
        <v>6.0189004799999992</v>
      </c>
    </row>
    <row r="369" spans="1:17" x14ac:dyDescent="0.25">
      <c r="A369" s="6">
        <v>1974</v>
      </c>
      <c r="B369" s="6" t="s">
        <v>370</v>
      </c>
      <c r="C369" s="6" t="s">
        <v>383</v>
      </c>
      <c r="D369" s="6" t="s">
        <v>372</v>
      </c>
      <c r="E369" s="1" t="s">
        <v>425</v>
      </c>
      <c r="F369" t="s">
        <v>417</v>
      </c>
      <c r="H369" s="22">
        <v>6.3720000000000008</v>
      </c>
      <c r="I369" s="34">
        <f>Tabela14[[#This Row],[PRECO 3%]]+(Tabela14[[#This Row],[PRECO 3%]]*0.06)</f>
        <v>6.7543200000000008</v>
      </c>
      <c r="J369" s="34"/>
      <c r="K369" s="34">
        <f>(Tabela14[[#This Row],[REGIÃO01-3%]]*0.06)+Tabela14[[#This Row],[REGIÃO01-3%]]</f>
        <v>0</v>
      </c>
      <c r="L369" s="34">
        <f>(Tabela14[[#This Row],[PRECO 3%]]*0.05)+Tabela14[[#This Row],[PRECO 3%]]</f>
        <v>6.6906000000000008</v>
      </c>
      <c r="M369" s="34">
        <f>(Tabela14[[#This Row],[REGIÃO02 - 3%]]*0.06)+Tabela14[[#This Row],[REGIÃO02 - 3%]]</f>
        <v>7.0920360000000011</v>
      </c>
      <c r="N369" s="34">
        <f>(Tabela14[[#This Row],[PRECO 3%]]*0.08)+Tabela14[[#This Row],[PRECO 3%]]</f>
        <v>6.8817600000000008</v>
      </c>
      <c r="O369" s="34">
        <f>(Tabela14[[#This Row],[REGIÃO03-3%]]*0.06)+Tabela14[[#This Row],[REGIÃO03-3%]]</f>
        <v>7.294665600000001</v>
      </c>
      <c r="P369" s="34">
        <f>(Tabela14[[#This Row],[PRECO 3%]]*0.06)+Tabela14[[#This Row],[PRECO 3%]]</f>
        <v>6.7543200000000008</v>
      </c>
      <c r="Q369" s="34">
        <f>(Tabela14[[#This Row],[REGIÃO04-3%]]*0.06)+Tabela14[[#This Row],[REGIÃO04-3%]]</f>
        <v>7.1595792000000005</v>
      </c>
    </row>
    <row r="370" spans="1:17" x14ac:dyDescent="0.25">
      <c r="A370" s="6">
        <v>1974</v>
      </c>
      <c r="B370" s="6" t="s">
        <v>370</v>
      </c>
      <c r="C370" s="6" t="s">
        <v>383</v>
      </c>
      <c r="D370" s="6" t="s">
        <v>372</v>
      </c>
      <c r="E370" s="1" t="s">
        <v>425</v>
      </c>
      <c r="F370" t="s">
        <v>411</v>
      </c>
      <c r="H370" s="2">
        <v>6.37</v>
      </c>
      <c r="I370" s="34">
        <f>Tabela14[[#This Row],[PRECO 3%]]+(Tabela14[[#This Row],[PRECO 3%]]*0.06)</f>
        <v>6.7522000000000002</v>
      </c>
      <c r="J370" s="34"/>
      <c r="K370" s="34">
        <f>(Tabela14[[#This Row],[REGIÃO01-3%]]*0.06)+Tabela14[[#This Row],[REGIÃO01-3%]]</f>
        <v>0</v>
      </c>
      <c r="L370" s="34">
        <f>(Tabela14[[#This Row],[PRECO 3%]]*0.05)+Tabela14[[#This Row],[PRECO 3%]]</f>
        <v>6.6885000000000003</v>
      </c>
      <c r="M370" s="34">
        <f>(Tabela14[[#This Row],[REGIÃO02 - 3%]]*0.06)+Tabela14[[#This Row],[REGIÃO02 - 3%]]</f>
        <v>7.0898099999999999</v>
      </c>
      <c r="N370" s="34">
        <f>(Tabela14[[#This Row],[PRECO 3%]]*0.08)+Tabela14[[#This Row],[PRECO 3%]]</f>
        <v>6.8795999999999999</v>
      </c>
      <c r="O370" s="34">
        <f>(Tabela14[[#This Row],[REGIÃO03-3%]]*0.06)+Tabela14[[#This Row],[REGIÃO03-3%]]</f>
        <v>7.292376</v>
      </c>
      <c r="P370" s="34">
        <f>(Tabela14[[#This Row],[PRECO 3%]]*0.06)+Tabela14[[#This Row],[PRECO 3%]]</f>
        <v>6.7522000000000002</v>
      </c>
      <c r="Q370" s="34">
        <f>(Tabela14[[#This Row],[REGIÃO04-3%]]*0.06)+Tabela14[[#This Row],[REGIÃO04-3%]]</f>
        <v>7.1573320000000002</v>
      </c>
    </row>
    <row r="371" spans="1:17" x14ac:dyDescent="0.25">
      <c r="A371">
        <v>2010</v>
      </c>
      <c r="B371" s="6" t="s">
        <v>228</v>
      </c>
      <c r="C371" s="6" t="s">
        <v>26</v>
      </c>
      <c r="D371" s="6" t="s">
        <v>8</v>
      </c>
      <c r="E371">
        <v>320</v>
      </c>
      <c r="F371" t="e">
        <f>VLOOKUP(Tabela14[[#This Row],[ID_COD]],Tabela2[],6,0)</f>
        <v>#N/A</v>
      </c>
      <c r="G371" s="6" t="s">
        <v>228</v>
      </c>
      <c r="H371" s="46">
        <v>25.71</v>
      </c>
      <c r="I371" s="47">
        <f>Tabela14[[#This Row],[PRECO 3%]]+(Tabela14[[#This Row],[PRECO 3%]]*0.06)</f>
        <v>27.252600000000001</v>
      </c>
      <c r="J371" s="49">
        <f>(Tabela14[[#This Row],[PRECO 3%]]*0.1)+Tabela14[[#This Row],[PRECO 3%]]</f>
        <v>28.281000000000002</v>
      </c>
      <c r="K371" s="49">
        <f>(Tabela14[[#This Row],[REGIÃO01-3%]]*0.06)+Tabela14[[#This Row],[REGIÃO01-3%]]</f>
        <v>29.977860000000003</v>
      </c>
      <c r="L371" s="50">
        <f>(Tabela14[[#This Row],[PRECO 3%]]*0.05)+Tabela14[[#This Row],[PRECO 3%]]</f>
        <v>26.9955</v>
      </c>
      <c r="M371" s="50">
        <f>(Tabela14[[#This Row],[REGIÃO02 - 3%]]*0.06)+Tabela14[[#This Row],[REGIÃO02 - 3%]]</f>
        <v>28.61523</v>
      </c>
      <c r="N371" s="51">
        <f>(Tabela14[[#This Row],[PRECO 3%]]*0.08)+Tabela14[[#This Row],[PRECO 3%]]</f>
        <v>27.7668</v>
      </c>
      <c r="O371" s="51">
        <f>(Tabela14[[#This Row],[REGIÃO03-3%]]*0.06)+Tabela14[[#This Row],[REGIÃO03-3%]]</f>
        <v>29.432808000000001</v>
      </c>
      <c r="P371" s="52">
        <f>(Tabela14[[#This Row],[PRECO 3%]]*0.06)+Tabela14[[#This Row],[PRECO 3%]]</f>
        <v>27.252600000000001</v>
      </c>
      <c r="Q371" s="34">
        <f>(Tabela14[[#This Row],[REGIÃO04-3%]]*0.06)+Tabela14[[#This Row],[REGIÃO04-3%]]</f>
        <v>28.887756</v>
      </c>
    </row>
    <row r="372" spans="1:17" x14ac:dyDescent="0.25">
      <c r="A372">
        <v>2011</v>
      </c>
      <c r="B372" s="6" t="s">
        <v>228</v>
      </c>
      <c r="C372" s="6" t="s">
        <v>26</v>
      </c>
      <c r="D372" s="6" t="s">
        <v>9</v>
      </c>
      <c r="E372">
        <v>900</v>
      </c>
      <c r="F372" t="e">
        <f>VLOOKUP(Tabela14[[#This Row],[ID_COD]],Tabela2[],6,0)</f>
        <v>#N/A</v>
      </c>
      <c r="G372" t="s">
        <v>228</v>
      </c>
      <c r="H372" s="46">
        <v>58.6</v>
      </c>
      <c r="I372" s="47">
        <f>Tabela14[[#This Row],[PRECO 3%]]+(Tabela14[[#This Row],[PRECO 3%]]*0.06)</f>
        <v>62.116</v>
      </c>
      <c r="J372" s="49">
        <f>(Tabela14[[#This Row],[PRECO 3%]]*0.1)+Tabela14[[#This Row],[PRECO 3%]]</f>
        <v>64.460000000000008</v>
      </c>
      <c r="K372" s="49">
        <f>(Tabela14[[#This Row],[REGIÃO01-3%]]*0.06)+Tabela14[[#This Row],[REGIÃO01-3%]]</f>
        <v>68.327600000000004</v>
      </c>
      <c r="L372" s="50">
        <f>(Tabela14[[#This Row],[PRECO 3%]]*0.05)+Tabela14[[#This Row],[PRECO 3%]]</f>
        <v>61.53</v>
      </c>
      <c r="M372" s="50">
        <f>(Tabela14[[#This Row],[REGIÃO02 - 3%]]*0.06)+Tabela14[[#This Row],[REGIÃO02 - 3%]]</f>
        <v>65.221800000000002</v>
      </c>
      <c r="N372" s="51">
        <f>(Tabela14[[#This Row],[PRECO 3%]]*0.08)+Tabela14[[#This Row],[PRECO 3%]]</f>
        <v>63.288000000000004</v>
      </c>
      <c r="O372" s="51">
        <f>(Tabela14[[#This Row],[REGIÃO03-3%]]*0.06)+Tabela14[[#This Row],[REGIÃO03-3%]]</f>
        <v>67.085279999999997</v>
      </c>
      <c r="P372" s="52">
        <f>(Tabela14[[#This Row],[PRECO 3%]]*0.06)+Tabela14[[#This Row],[PRECO 3%]]</f>
        <v>62.116</v>
      </c>
      <c r="Q372" s="34">
        <f>(Tabela14[[#This Row],[REGIÃO04-3%]]*0.06)+Tabela14[[#This Row],[REGIÃO04-3%]]</f>
        <v>65.842960000000005</v>
      </c>
    </row>
    <row r="373" spans="1:17" x14ac:dyDescent="0.25">
      <c r="A373">
        <v>2019</v>
      </c>
      <c r="B373" s="6" t="s">
        <v>440</v>
      </c>
      <c r="C373" t="s">
        <v>20</v>
      </c>
      <c r="D373" s="6" t="s">
        <v>9</v>
      </c>
      <c r="E373">
        <v>350</v>
      </c>
      <c r="F373" t="e">
        <f>VLOOKUP(Tabela14[[#This Row],[ID_COD]],Tabela2[],6,0)</f>
        <v>#N/A</v>
      </c>
      <c r="G373" t="s">
        <v>259</v>
      </c>
      <c r="H373" s="46">
        <v>22.79</v>
      </c>
      <c r="I373" s="47">
        <f>Tabela14[[#This Row],[PRECO 3%]]+(Tabela14[[#This Row],[PRECO 3%]]*0.06)</f>
        <v>24.157399999999999</v>
      </c>
      <c r="J373" s="49">
        <f>(Tabela14[[#This Row],[PRECO 3%]]*0.1)+Tabela14[[#This Row],[PRECO 3%]]</f>
        <v>25.068999999999999</v>
      </c>
      <c r="K373" s="49">
        <f>(Tabela14[[#This Row],[REGIÃO01-3%]]*0.06)+Tabela14[[#This Row],[REGIÃO01-3%]]</f>
        <v>26.573139999999999</v>
      </c>
      <c r="L373" s="50">
        <f>(Tabela14[[#This Row],[PRECO 3%]]*0.05)+Tabela14[[#This Row],[PRECO 3%]]</f>
        <v>23.929499999999997</v>
      </c>
      <c r="M373" s="50">
        <f>(Tabela14[[#This Row],[REGIÃO02 - 3%]]*0.06)+Tabela14[[#This Row],[REGIÃO02 - 3%]]</f>
        <v>25.365269999999995</v>
      </c>
      <c r="N373" s="51">
        <f>(Tabela14[[#This Row],[PRECO 3%]]*0.08)+Tabela14[[#This Row],[PRECO 3%]]</f>
        <v>24.613199999999999</v>
      </c>
      <c r="O373" s="51">
        <f>(Tabela14[[#This Row],[REGIÃO03-3%]]*0.06)+Tabela14[[#This Row],[REGIÃO03-3%]]</f>
        <v>26.089991999999999</v>
      </c>
      <c r="P373" s="52">
        <f>(Tabela14[[#This Row],[PRECO 3%]]*0.06)+Tabela14[[#This Row],[PRECO 3%]]</f>
        <v>24.157399999999999</v>
      </c>
      <c r="Q373" s="34">
        <f>(Tabela14[[#This Row],[REGIÃO04-3%]]*0.06)+Tabela14[[#This Row],[REGIÃO04-3%]]</f>
        <v>25.606843999999999</v>
      </c>
    </row>
    <row r="374" spans="1:17" x14ac:dyDescent="0.25">
      <c r="B374" t="s">
        <v>27</v>
      </c>
      <c r="C374" t="s">
        <v>34</v>
      </c>
      <c r="D374" t="s">
        <v>28</v>
      </c>
      <c r="E374" s="1" t="s">
        <v>322</v>
      </c>
      <c r="F374" t="e">
        <f>VLOOKUP(Tabela14[[#This Row],[ID_COD]],Tabela2[],6,0)</f>
        <v>#N/A</v>
      </c>
      <c r="H374" s="2" t="e">
        <v>#N/A</v>
      </c>
      <c r="I374" s="34" t="e">
        <f>Tabela14[[#This Row],[PRECO 3%]]+(Tabela14[[#This Row],[PRECO 3%]]*0.06)</f>
        <v>#N/A</v>
      </c>
      <c r="J374" s="34"/>
      <c r="K374" s="34">
        <f>(Tabela14[[#This Row],[REGIÃO01-3%]]*0.06)+Tabela14[[#This Row],[REGIÃO01-3%]]</f>
        <v>0</v>
      </c>
      <c r="L374" s="34" t="e">
        <f>(Tabela14[[#This Row],[PRECO 3%]]*0.05)+Tabela14[[#This Row],[PRECO 3%]]</f>
        <v>#N/A</v>
      </c>
      <c r="M374" s="34" t="e">
        <f>(Tabela14[[#This Row],[REGIÃO02 - 3%]]*0.06)+Tabela14[[#This Row],[REGIÃO02 - 3%]]</f>
        <v>#N/A</v>
      </c>
      <c r="N374" s="34" t="e">
        <f>(Tabela14[[#This Row],[PRECO 3%]]*0.08)+Tabela14[[#This Row],[PRECO 3%]]</f>
        <v>#N/A</v>
      </c>
      <c r="O374" s="34" t="e">
        <f>(Tabela14[[#This Row],[REGIÃO03-3%]]*0.06)+Tabela14[[#This Row],[REGIÃO03-3%]]</f>
        <v>#N/A</v>
      </c>
      <c r="P374" s="34" t="e">
        <f>(Tabela14[[#This Row],[PRECO 3%]]*0.06)+Tabela14[[#This Row],[PRECO 3%]]</f>
        <v>#N/A</v>
      </c>
      <c r="Q374" s="34" t="e">
        <f>(Tabela14[[#This Row],[REGIÃO04-3%]]*0.06)+Tabela14[[#This Row],[REGIÃO04-3%]]</f>
        <v>#N/A</v>
      </c>
    </row>
    <row r="375" spans="1:17" x14ac:dyDescent="0.25">
      <c r="B375" t="s">
        <v>27</v>
      </c>
      <c r="C375" t="s">
        <v>36</v>
      </c>
      <c r="D375" t="s">
        <v>28</v>
      </c>
      <c r="E375" s="1" t="s">
        <v>322</v>
      </c>
      <c r="F375" t="e">
        <f>VLOOKUP(Tabela14[[#This Row],[ID_COD]],Tabela2[],6,0)</f>
        <v>#N/A</v>
      </c>
      <c r="H375" s="33" t="e">
        <v>#N/A</v>
      </c>
      <c r="I375" s="34" t="e">
        <f>Tabela14[[#This Row],[PRECO 3%]]+(Tabela14[[#This Row],[PRECO 3%]]*0.06)</f>
        <v>#N/A</v>
      </c>
      <c r="J375" s="34"/>
      <c r="K375" s="34">
        <f>(Tabela14[[#This Row],[REGIÃO01-3%]]*0.06)+Tabela14[[#This Row],[REGIÃO01-3%]]</f>
        <v>0</v>
      </c>
      <c r="L375" s="34" t="e">
        <f>(Tabela14[[#This Row],[PRECO 3%]]*0.05)+Tabela14[[#This Row],[PRECO 3%]]</f>
        <v>#N/A</v>
      </c>
      <c r="M375" s="34" t="e">
        <f>(Tabela14[[#This Row],[REGIÃO02 - 3%]]*0.06)+Tabela14[[#This Row],[REGIÃO02 - 3%]]</f>
        <v>#N/A</v>
      </c>
      <c r="N375" s="34" t="e">
        <f>(Tabela14[[#This Row],[PRECO 3%]]*0.08)+Tabela14[[#This Row],[PRECO 3%]]</f>
        <v>#N/A</v>
      </c>
      <c r="O375" s="34" t="e">
        <f>(Tabela14[[#This Row],[REGIÃO03-3%]]*0.06)+Tabela14[[#This Row],[REGIÃO03-3%]]</f>
        <v>#N/A</v>
      </c>
      <c r="P375" s="34" t="e">
        <f>(Tabela14[[#This Row],[PRECO 3%]]*0.06)+Tabela14[[#This Row],[PRECO 3%]]</f>
        <v>#N/A</v>
      </c>
      <c r="Q375" s="34" t="e">
        <f>(Tabela14[[#This Row],[REGIÃO04-3%]]*0.06)+Tabela14[[#This Row],[REGIÃO04-3%]]</f>
        <v>#N/A</v>
      </c>
    </row>
    <row r="376" spans="1:17" ht="15.75" thickBot="1" x14ac:dyDescent="0.3">
      <c r="B376" t="s">
        <v>27</v>
      </c>
      <c r="C376" t="s">
        <v>41</v>
      </c>
      <c r="D376" t="s">
        <v>28</v>
      </c>
      <c r="E376" s="1" t="s">
        <v>322</v>
      </c>
      <c r="F376" t="e">
        <f>VLOOKUP(Tabela14[[#This Row],[ID_COD]],Tabela2[],6,0)</f>
        <v>#N/A</v>
      </c>
      <c r="H376" s="24" t="e">
        <v>#N/A</v>
      </c>
      <c r="I376" s="34" t="e">
        <f>Tabela14[[#This Row],[PRECO 3%]]+(Tabela14[[#This Row],[PRECO 3%]]*0.06)</f>
        <v>#N/A</v>
      </c>
      <c r="J376" s="34"/>
      <c r="K376" s="34">
        <f>(Tabela14[[#This Row],[REGIÃO01-3%]]*0.06)+Tabela14[[#This Row],[REGIÃO01-3%]]</f>
        <v>0</v>
      </c>
      <c r="L376" s="34" t="e">
        <f>(Tabela14[[#This Row],[PRECO 3%]]*0.05)+Tabela14[[#This Row],[PRECO 3%]]</f>
        <v>#N/A</v>
      </c>
      <c r="M376" s="34" t="e">
        <f>(Tabela14[[#This Row],[REGIÃO02 - 3%]]*0.06)+Tabela14[[#This Row],[REGIÃO02 - 3%]]</f>
        <v>#N/A</v>
      </c>
      <c r="N376" s="34" t="e">
        <f>(Tabela14[[#This Row],[PRECO 3%]]*0.08)+Tabela14[[#This Row],[PRECO 3%]]</f>
        <v>#N/A</v>
      </c>
      <c r="O376" s="34" t="e">
        <f>(Tabela14[[#This Row],[REGIÃO03-3%]]*0.06)+Tabela14[[#This Row],[REGIÃO03-3%]]</f>
        <v>#N/A</v>
      </c>
      <c r="P376" s="34" t="e">
        <f>(Tabela14[[#This Row],[PRECO 3%]]*0.06)+Tabela14[[#This Row],[PRECO 3%]]</f>
        <v>#N/A</v>
      </c>
      <c r="Q376" s="34" t="e">
        <f>(Tabela14[[#This Row],[REGIÃO04-3%]]*0.06)+Tabela14[[#This Row],[REGIÃO04-3%]]</f>
        <v>#N/A</v>
      </c>
    </row>
    <row r="377" spans="1:17" ht="15.75" thickBot="1" x14ac:dyDescent="0.3">
      <c r="B377" t="s">
        <v>27</v>
      </c>
      <c r="C377" t="s">
        <v>44</v>
      </c>
      <c r="D377" t="s">
        <v>43</v>
      </c>
      <c r="E377" s="1" t="s">
        <v>322</v>
      </c>
      <c r="F377" t="e">
        <f>VLOOKUP(Tabela14[[#This Row],[ID_COD]],Tabela2[],6,0)</f>
        <v>#N/A</v>
      </c>
      <c r="H377" s="23">
        <v>4.2699999999999996</v>
      </c>
      <c r="I377" s="34">
        <f>Tabela14[[#This Row],[PRECO 3%]]+(Tabela14[[#This Row],[PRECO 3%]]*0.06)</f>
        <v>4.5261999999999993</v>
      </c>
      <c r="J377" s="34"/>
      <c r="K377" s="34">
        <f>(Tabela14[[#This Row],[REGIÃO01-3%]]*0.06)+Tabela14[[#This Row],[REGIÃO01-3%]]</f>
        <v>0</v>
      </c>
      <c r="L377" s="34">
        <f>(Tabela14[[#This Row],[PRECO 3%]]*0.05)+Tabela14[[#This Row],[PRECO 3%]]</f>
        <v>4.4834999999999994</v>
      </c>
      <c r="M377" s="34">
        <f>(Tabela14[[#This Row],[REGIÃO02 - 3%]]*0.06)+Tabela14[[#This Row],[REGIÃO02 - 3%]]</f>
        <v>4.7525099999999991</v>
      </c>
      <c r="N377" s="34">
        <f>(Tabela14[[#This Row],[PRECO 3%]]*0.08)+Tabela14[[#This Row],[PRECO 3%]]</f>
        <v>4.6115999999999993</v>
      </c>
      <c r="O377" s="34">
        <f>(Tabela14[[#This Row],[REGIÃO03-3%]]*0.06)+Tabela14[[#This Row],[REGIÃO03-3%]]</f>
        <v>4.8882959999999995</v>
      </c>
      <c r="P377" s="34">
        <f>(Tabela14[[#This Row],[PRECO 3%]]*0.06)+Tabela14[[#This Row],[PRECO 3%]]</f>
        <v>4.5261999999999993</v>
      </c>
      <c r="Q377" s="34">
        <f>(Tabela14[[#This Row],[REGIÃO04-3%]]*0.06)+Tabela14[[#This Row],[REGIÃO04-3%]]</f>
        <v>4.7977719999999993</v>
      </c>
    </row>
    <row r="378" spans="1:17" ht="15.75" thickBot="1" x14ac:dyDescent="0.3">
      <c r="B378" t="s">
        <v>27</v>
      </c>
      <c r="C378" t="s">
        <v>49</v>
      </c>
      <c r="D378" t="s">
        <v>43</v>
      </c>
      <c r="E378" s="1" t="s">
        <v>322</v>
      </c>
      <c r="F378" t="e">
        <f>VLOOKUP(Tabela14[[#This Row],[ID_COD]],Tabela2[],6,0)</f>
        <v>#N/A</v>
      </c>
      <c r="H378" s="23" t="e">
        <v>#N/A</v>
      </c>
      <c r="I378" s="34" t="e">
        <f>Tabela14[[#This Row],[PRECO 3%]]+(Tabela14[[#This Row],[PRECO 3%]]*0.06)</f>
        <v>#N/A</v>
      </c>
      <c r="J378" s="34"/>
      <c r="K378" s="34">
        <f>(Tabela14[[#This Row],[REGIÃO01-3%]]*0.06)+Tabela14[[#This Row],[REGIÃO01-3%]]</f>
        <v>0</v>
      </c>
      <c r="L378" s="34" t="e">
        <f>(Tabela14[[#This Row],[PRECO 3%]]*0.05)+Tabela14[[#This Row],[PRECO 3%]]</f>
        <v>#N/A</v>
      </c>
      <c r="M378" s="34" t="e">
        <f>(Tabela14[[#This Row],[REGIÃO02 - 3%]]*0.06)+Tabela14[[#This Row],[REGIÃO02 - 3%]]</f>
        <v>#N/A</v>
      </c>
      <c r="N378" s="34" t="e">
        <f>(Tabela14[[#This Row],[PRECO 3%]]*0.08)+Tabela14[[#This Row],[PRECO 3%]]</f>
        <v>#N/A</v>
      </c>
      <c r="O378" s="34" t="e">
        <f>(Tabela14[[#This Row],[REGIÃO03-3%]]*0.06)+Tabela14[[#This Row],[REGIÃO03-3%]]</f>
        <v>#N/A</v>
      </c>
      <c r="P378" s="34" t="e">
        <f>(Tabela14[[#This Row],[PRECO 3%]]*0.06)+Tabela14[[#This Row],[PRECO 3%]]</f>
        <v>#N/A</v>
      </c>
      <c r="Q378" s="34" t="e">
        <f>(Tabela14[[#This Row],[REGIÃO04-3%]]*0.06)+Tabela14[[#This Row],[REGIÃO04-3%]]</f>
        <v>#N/A</v>
      </c>
    </row>
    <row r="379" spans="1:17" ht="15.75" thickBot="1" x14ac:dyDescent="0.3">
      <c r="B379" t="s">
        <v>27</v>
      </c>
      <c r="C379" t="s">
        <v>51</v>
      </c>
      <c r="D379" t="s">
        <v>43</v>
      </c>
      <c r="E379" s="1" t="s">
        <v>322</v>
      </c>
      <c r="F379" t="e">
        <f>VLOOKUP(Tabela14[[#This Row],[ID_COD]],Tabela2[],6,0)</f>
        <v>#N/A</v>
      </c>
      <c r="H379" s="23" t="e">
        <v>#N/A</v>
      </c>
      <c r="I379" s="34" t="e">
        <f>Tabela14[[#This Row],[PRECO 3%]]+(Tabela14[[#This Row],[PRECO 3%]]*0.06)</f>
        <v>#N/A</v>
      </c>
      <c r="J379" s="34"/>
      <c r="K379" s="34">
        <f>(Tabela14[[#This Row],[REGIÃO01-3%]]*0.06)+Tabela14[[#This Row],[REGIÃO01-3%]]</f>
        <v>0</v>
      </c>
      <c r="L379" s="34" t="e">
        <f>(Tabela14[[#This Row],[PRECO 3%]]*0.05)+Tabela14[[#This Row],[PRECO 3%]]</f>
        <v>#N/A</v>
      </c>
      <c r="M379" s="34" t="e">
        <f>(Tabela14[[#This Row],[REGIÃO02 - 3%]]*0.06)+Tabela14[[#This Row],[REGIÃO02 - 3%]]</f>
        <v>#N/A</v>
      </c>
      <c r="N379" s="34" t="e">
        <f>(Tabela14[[#This Row],[PRECO 3%]]*0.08)+Tabela14[[#This Row],[PRECO 3%]]</f>
        <v>#N/A</v>
      </c>
      <c r="O379" s="34" t="e">
        <f>(Tabela14[[#This Row],[REGIÃO03-3%]]*0.06)+Tabela14[[#This Row],[REGIÃO03-3%]]</f>
        <v>#N/A</v>
      </c>
      <c r="P379" s="34" t="e">
        <f>(Tabela14[[#This Row],[PRECO 3%]]*0.06)+Tabela14[[#This Row],[PRECO 3%]]</f>
        <v>#N/A</v>
      </c>
      <c r="Q379" s="34" t="e">
        <f>(Tabela14[[#This Row],[REGIÃO04-3%]]*0.06)+Tabela14[[#This Row],[REGIÃO04-3%]]</f>
        <v>#N/A</v>
      </c>
    </row>
    <row r="380" spans="1:17" ht="15.75" thickBot="1" x14ac:dyDescent="0.3">
      <c r="B380" t="s">
        <v>27</v>
      </c>
      <c r="C380" t="s">
        <v>56</v>
      </c>
      <c r="D380" t="s">
        <v>43</v>
      </c>
      <c r="E380" s="1" t="s">
        <v>322</v>
      </c>
      <c r="F380" t="e">
        <f>VLOOKUP(Tabela14[[#This Row],[ID_COD]],Tabela2[],6,0)</f>
        <v>#N/A</v>
      </c>
      <c r="H380" s="23" t="e">
        <v>#N/A</v>
      </c>
      <c r="I380" s="34" t="e">
        <f>Tabela14[[#This Row],[PRECO 3%]]+(Tabela14[[#This Row],[PRECO 3%]]*0.06)</f>
        <v>#N/A</v>
      </c>
      <c r="J380" s="34"/>
      <c r="K380" s="34">
        <f>(Tabela14[[#This Row],[REGIÃO01-3%]]*0.06)+Tabela14[[#This Row],[REGIÃO01-3%]]</f>
        <v>0</v>
      </c>
      <c r="L380" s="34" t="e">
        <f>(Tabela14[[#This Row],[PRECO 3%]]*0.05)+Tabela14[[#This Row],[PRECO 3%]]</f>
        <v>#N/A</v>
      </c>
      <c r="M380" s="34" t="e">
        <f>(Tabela14[[#This Row],[REGIÃO02 - 3%]]*0.06)+Tabela14[[#This Row],[REGIÃO02 - 3%]]</f>
        <v>#N/A</v>
      </c>
      <c r="N380" s="34" t="e">
        <f>(Tabela14[[#This Row],[PRECO 3%]]*0.08)+Tabela14[[#This Row],[PRECO 3%]]</f>
        <v>#N/A</v>
      </c>
      <c r="O380" s="34" t="e">
        <f>(Tabela14[[#This Row],[REGIÃO03-3%]]*0.06)+Tabela14[[#This Row],[REGIÃO03-3%]]</f>
        <v>#N/A</v>
      </c>
      <c r="P380" s="34" t="e">
        <f>(Tabela14[[#This Row],[PRECO 3%]]*0.06)+Tabela14[[#This Row],[PRECO 3%]]</f>
        <v>#N/A</v>
      </c>
      <c r="Q380" s="34" t="e">
        <f>(Tabela14[[#This Row],[REGIÃO04-3%]]*0.06)+Tabela14[[#This Row],[REGIÃO04-3%]]</f>
        <v>#N/A</v>
      </c>
    </row>
    <row r="381" spans="1:17" x14ac:dyDescent="0.25">
      <c r="B381" t="s">
        <v>27</v>
      </c>
      <c r="C381" t="s">
        <v>29</v>
      </c>
      <c r="D381" t="s">
        <v>58</v>
      </c>
      <c r="E381" s="1" t="s">
        <v>322</v>
      </c>
      <c r="F381" t="e">
        <f>VLOOKUP(Tabela14[[#This Row],[ID_COD]],Tabela2[],6,0)</f>
        <v>#N/A</v>
      </c>
      <c r="H381" s="27">
        <v>3.66</v>
      </c>
      <c r="I381" s="34">
        <f>Tabela14[[#This Row],[PRECO 3%]]+(Tabela14[[#This Row],[PRECO 3%]]*0.06)</f>
        <v>3.8795999999999999</v>
      </c>
      <c r="J381" s="34"/>
      <c r="K381" s="34">
        <f>(Tabela14[[#This Row],[REGIÃO01-3%]]*0.06)+Tabela14[[#This Row],[REGIÃO01-3%]]</f>
        <v>0</v>
      </c>
      <c r="L381" s="34">
        <f>(Tabela14[[#This Row],[PRECO 3%]]*0.05)+Tabela14[[#This Row],[PRECO 3%]]</f>
        <v>3.843</v>
      </c>
      <c r="M381" s="34">
        <f>(Tabela14[[#This Row],[REGIÃO02 - 3%]]*0.06)+Tabela14[[#This Row],[REGIÃO02 - 3%]]</f>
        <v>4.0735799999999998</v>
      </c>
      <c r="N381" s="34">
        <f>(Tabela14[[#This Row],[PRECO 3%]]*0.08)+Tabela14[[#This Row],[PRECO 3%]]</f>
        <v>3.9528000000000003</v>
      </c>
      <c r="O381" s="34">
        <f>(Tabela14[[#This Row],[REGIÃO03-3%]]*0.06)+Tabela14[[#This Row],[REGIÃO03-3%]]</f>
        <v>4.1899680000000004</v>
      </c>
      <c r="P381" s="34">
        <f>(Tabela14[[#This Row],[PRECO 3%]]*0.06)+Tabela14[[#This Row],[PRECO 3%]]</f>
        <v>3.8795999999999999</v>
      </c>
      <c r="Q381" s="34">
        <f>(Tabela14[[#This Row],[REGIÃO04-3%]]*0.06)+Tabela14[[#This Row],[REGIÃO04-3%]]</f>
        <v>4.1123760000000003</v>
      </c>
    </row>
    <row r="382" spans="1:17" ht="15.75" thickBot="1" x14ac:dyDescent="0.3">
      <c r="B382" t="s">
        <v>27</v>
      </c>
      <c r="C382" t="s">
        <v>34</v>
      </c>
      <c r="D382" t="s">
        <v>58</v>
      </c>
      <c r="E382" s="1" t="s">
        <v>322</v>
      </c>
      <c r="F382" t="e">
        <f>VLOOKUP(Tabela14[[#This Row],[ID_COD]],Tabela2[],6,0)</f>
        <v>#N/A</v>
      </c>
      <c r="H382" s="23" t="e">
        <v>#N/A</v>
      </c>
      <c r="I382" s="34" t="e">
        <f>Tabela14[[#This Row],[PRECO 3%]]+(Tabela14[[#This Row],[PRECO 3%]]*0.06)</f>
        <v>#N/A</v>
      </c>
      <c r="J382" s="34"/>
      <c r="K382" s="34">
        <f>(Tabela14[[#This Row],[REGIÃO01-3%]]*0.06)+Tabela14[[#This Row],[REGIÃO01-3%]]</f>
        <v>0</v>
      </c>
      <c r="L382" s="34" t="e">
        <f>(Tabela14[[#This Row],[PRECO 3%]]*0.05)+Tabela14[[#This Row],[PRECO 3%]]</f>
        <v>#N/A</v>
      </c>
      <c r="M382" s="34" t="e">
        <f>(Tabela14[[#This Row],[REGIÃO02 - 3%]]*0.06)+Tabela14[[#This Row],[REGIÃO02 - 3%]]</f>
        <v>#N/A</v>
      </c>
      <c r="N382" s="34" t="e">
        <f>(Tabela14[[#This Row],[PRECO 3%]]*0.08)+Tabela14[[#This Row],[PRECO 3%]]</f>
        <v>#N/A</v>
      </c>
      <c r="O382" s="34" t="e">
        <f>(Tabela14[[#This Row],[REGIÃO03-3%]]*0.06)+Tabela14[[#This Row],[REGIÃO03-3%]]</f>
        <v>#N/A</v>
      </c>
      <c r="P382" s="34" t="e">
        <f>(Tabela14[[#This Row],[PRECO 3%]]*0.06)+Tabela14[[#This Row],[PRECO 3%]]</f>
        <v>#N/A</v>
      </c>
      <c r="Q382" s="34" t="e">
        <f>(Tabela14[[#This Row],[REGIÃO04-3%]]*0.06)+Tabela14[[#This Row],[REGIÃO04-3%]]</f>
        <v>#N/A</v>
      </c>
    </row>
    <row r="383" spans="1:17" ht="15.75" thickBot="1" x14ac:dyDescent="0.3">
      <c r="B383" t="s">
        <v>27</v>
      </c>
      <c r="C383" t="s">
        <v>36</v>
      </c>
      <c r="D383" t="s">
        <v>58</v>
      </c>
      <c r="E383" s="1" t="s">
        <v>322</v>
      </c>
      <c r="F383" t="e">
        <f>VLOOKUP(Tabela14[[#This Row],[ID_COD]],Tabela2[],6,0)</f>
        <v>#N/A</v>
      </c>
      <c r="H383" s="23" t="e">
        <v>#N/A</v>
      </c>
      <c r="I383" s="34" t="e">
        <f>Tabela14[[#This Row],[PRECO 3%]]+(Tabela14[[#This Row],[PRECO 3%]]*0.06)</f>
        <v>#N/A</v>
      </c>
      <c r="J383" s="34"/>
      <c r="K383" s="34">
        <f>(Tabela14[[#This Row],[REGIÃO01-3%]]*0.06)+Tabela14[[#This Row],[REGIÃO01-3%]]</f>
        <v>0</v>
      </c>
      <c r="L383" s="34" t="e">
        <f>(Tabela14[[#This Row],[PRECO 3%]]*0.05)+Tabela14[[#This Row],[PRECO 3%]]</f>
        <v>#N/A</v>
      </c>
      <c r="M383" s="34" t="e">
        <f>(Tabela14[[#This Row],[REGIÃO02 - 3%]]*0.06)+Tabela14[[#This Row],[REGIÃO02 - 3%]]</f>
        <v>#N/A</v>
      </c>
      <c r="N383" s="34" t="e">
        <f>(Tabela14[[#This Row],[PRECO 3%]]*0.08)+Tabela14[[#This Row],[PRECO 3%]]</f>
        <v>#N/A</v>
      </c>
      <c r="O383" s="34" t="e">
        <f>(Tabela14[[#This Row],[REGIÃO03-3%]]*0.06)+Tabela14[[#This Row],[REGIÃO03-3%]]</f>
        <v>#N/A</v>
      </c>
      <c r="P383" s="34" t="e">
        <f>(Tabela14[[#This Row],[PRECO 3%]]*0.06)+Tabela14[[#This Row],[PRECO 3%]]</f>
        <v>#N/A</v>
      </c>
      <c r="Q383" s="34" t="e">
        <f>(Tabela14[[#This Row],[REGIÃO04-3%]]*0.06)+Tabela14[[#This Row],[REGIÃO04-3%]]</f>
        <v>#N/A</v>
      </c>
    </row>
    <row r="384" spans="1:17" ht="15.75" thickBot="1" x14ac:dyDescent="0.3">
      <c r="B384" t="s">
        <v>27</v>
      </c>
      <c r="C384" t="s">
        <v>41</v>
      </c>
      <c r="D384" t="s">
        <v>58</v>
      </c>
      <c r="E384" s="1" t="s">
        <v>322</v>
      </c>
      <c r="F384" t="e">
        <f>VLOOKUP(Tabela14[[#This Row],[ID_COD]],Tabela2[],6,0)</f>
        <v>#N/A</v>
      </c>
      <c r="H384" s="23" t="e">
        <v>#N/A</v>
      </c>
      <c r="I384" s="34" t="e">
        <f>Tabela14[[#This Row],[PRECO 3%]]+(Tabela14[[#This Row],[PRECO 3%]]*0.06)</f>
        <v>#N/A</v>
      </c>
      <c r="J384" s="34"/>
      <c r="K384" s="34">
        <f>(Tabela14[[#This Row],[REGIÃO01-3%]]*0.06)+Tabela14[[#This Row],[REGIÃO01-3%]]</f>
        <v>0</v>
      </c>
      <c r="L384" s="34" t="e">
        <f>(Tabela14[[#This Row],[PRECO 3%]]*0.05)+Tabela14[[#This Row],[PRECO 3%]]</f>
        <v>#N/A</v>
      </c>
      <c r="M384" s="34" t="e">
        <f>(Tabela14[[#This Row],[REGIÃO02 - 3%]]*0.06)+Tabela14[[#This Row],[REGIÃO02 - 3%]]</f>
        <v>#N/A</v>
      </c>
      <c r="N384" s="34" t="e">
        <f>(Tabela14[[#This Row],[PRECO 3%]]*0.08)+Tabela14[[#This Row],[PRECO 3%]]</f>
        <v>#N/A</v>
      </c>
      <c r="O384" s="34" t="e">
        <f>(Tabela14[[#This Row],[REGIÃO03-3%]]*0.06)+Tabela14[[#This Row],[REGIÃO03-3%]]</f>
        <v>#N/A</v>
      </c>
      <c r="P384" s="34" t="e">
        <f>(Tabela14[[#This Row],[PRECO 3%]]*0.06)+Tabela14[[#This Row],[PRECO 3%]]</f>
        <v>#N/A</v>
      </c>
      <c r="Q384" s="34" t="e">
        <f>(Tabela14[[#This Row],[REGIÃO04-3%]]*0.06)+Tabela14[[#This Row],[REGIÃO04-3%]]</f>
        <v>#N/A</v>
      </c>
    </row>
    <row r="385" spans="2:17" ht="15.75" thickBot="1" x14ac:dyDescent="0.3">
      <c r="B385" t="s">
        <v>27</v>
      </c>
      <c r="C385" t="s">
        <v>44</v>
      </c>
      <c r="D385" t="s">
        <v>59</v>
      </c>
      <c r="E385" s="1" t="s">
        <v>322</v>
      </c>
      <c r="F385" t="e">
        <f>VLOOKUP(Tabela14[[#This Row],[ID_COD]],Tabela2[],6,0)</f>
        <v>#N/A</v>
      </c>
      <c r="H385" s="30">
        <v>4.2699999999999996</v>
      </c>
      <c r="I385" s="34">
        <f>Tabela14[[#This Row],[PRECO 3%]]+(Tabela14[[#This Row],[PRECO 3%]]*0.06)</f>
        <v>4.5261999999999993</v>
      </c>
      <c r="J385" s="34"/>
      <c r="K385" s="34">
        <f>(Tabela14[[#This Row],[REGIÃO01-3%]]*0.06)+Tabela14[[#This Row],[REGIÃO01-3%]]</f>
        <v>0</v>
      </c>
      <c r="L385" s="34">
        <f>(Tabela14[[#This Row],[PRECO 3%]]*0.05)+Tabela14[[#This Row],[PRECO 3%]]</f>
        <v>4.4834999999999994</v>
      </c>
      <c r="M385" s="34">
        <f>(Tabela14[[#This Row],[REGIÃO02 - 3%]]*0.06)+Tabela14[[#This Row],[REGIÃO02 - 3%]]</f>
        <v>4.7525099999999991</v>
      </c>
      <c r="N385" s="34">
        <f>(Tabela14[[#This Row],[PRECO 3%]]*0.08)+Tabela14[[#This Row],[PRECO 3%]]</f>
        <v>4.6115999999999993</v>
      </c>
      <c r="O385" s="34">
        <f>(Tabela14[[#This Row],[REGIÃO03-3%]]*0.06)+Tabela14[[#This Row],[REGIÃO03-3%]]</f>
        <v>4.8882959999999995</v>
      </c>
      <c r="P385" s="34">
        <f>(Tabela14[[#This Row],[PRECO 3%]]*0.06)+Tabela14[[#This Row],[PRECO 3%]]</f>
        <v>4.5261999999999993</v>
      </c>
      <c r="Q385" s="34">
        <f>(Tabela14[[#This Row],[REGIÃO04-3%]]*0.06)+Tabela14[[#This Row],[REGIÃO04-3%]]</f>
        <v>4.7977719999999993</v>
      </c>
    </row>
    <row r="386" spans="2:17" ht="15.75" thickBot="1" x14ac:dyDescent="0.3">
      <c r="B386" t="s">
        <v>27</v>
      </c>
      <c r="C386" t="s">
        <v>49</v>
      </c>
      <c r="D386" t="s">
        <v>59</v>
      </c>
      <c r="E386" s="1" t="s">
        <v>322</v>
      </c>
      <c r="F386" t="e">
        <f>VLOOKUP(Tabela14[[#This Row],[ID_COD]],Tabela2[],6,0)</f>
        <v>#N/A</v>
      </c>
      <c r="H386" s="24" t="e">
        <v>#N/A</v>
      </c>
      <c r="I386" s="34" t="e">
        <f>Tabela14[[#This Row],[PRECO 3%]]+(Tabela14[[#This Row],[PRECO 3%]]*0.06)</f>
        <v>#N/A</v>
      </c>
      <c r="J386" s="34"/>
      <c r="K386" s="34">
        <f>(Tabela14[[#This Row],[REGIÃO01-3%]]*0.06)+Tabela14[[#This Row],[REGIÃO01-3%]]</f>
        <v>0</v>
      </c>
      <c r="L386" s="34" t="e">
        <f>(Tabela14[[#This Row],[PRECO 3%]]*0.05)+Tabela14[[#This Row],[PRECO 3%]]</f>
        <v>#N/A</v>
      </c>
      <c r="M386" s="34" t="e">
        <f>(Tabela14[[#This Row],[REGIÃO02 - 3%]]*0.06)+Tabela14[[#This Row],[REGIÃO02 - 3%]]</f>
        <v>#N/A</v>
      </c>
      <c r="N386" s="34" t="e">
        <f>(Tabela14[[#This Row],[PRECO 3%]]*0.08)+Tabela14[[#This Row],[PRECO 3%]]</f>
        <v>#N/A</v>
      </c>
      <c r="O386" s="34" t="e">
        <f>(Tabela14[[#This Row],[REGIÃO03-3%]]*0.06)+Tabela14[[#This Row],[REGIÃO03-3%]]</f>
        <v>#N/A</v>
      </c>
      <c r="P386" s="34" t="e">
        <f>(Tabela14[[#This Row],[PRECO 3%]]*0.06)+Tabela14[[#This Row],[PRECO 3%]]</f>
        <v>#N/A</v>
      </c>
      <c r="Q386" s="34" t="e">
        <f>(Tabela14[[#This Row],[REGIÃO04-3%]]*0.06)+Tabela14[[#This Row],[REGIÃO04-3%]]</f>
        <v>#N/A</v>
      </c>
    </row>
    <row r="387" spans="2:17" ht="15.75" thickBot="1" x14ac:dyDescent="0.3">
      <c r="B387" t="s">
        <v>27</v>
      </c>
      <c r="C387" t="s">
        <v>51</v>
      </c>
      <c r="D387" t="s">
        <v>59</v>
      </c>
      <c r="E387" s="1" t="s">
        <v>322</v>
      </c>
      <c r="F387" t="e">
        <f>VLOOKUP(Tabela14[[#This Row],[ID_COD]],Tabela2[],6,0)</f>
        <v>#N/A</v>
      </c>
      <c r="H387" s="23" t="e">
        <v>#N/A</v>
      </c>
      <c r="I387" s="34" t="e">
        <f>Tabela14[[#This Row],[PRECO 3%]]+(Tabela14[[#This Row],[PRECO 3%]]*0.06)</f>
        <v>#N/A</v>
      </c>
      <c r="J387" s="34"/>
      <c r="K387" s="34">
        <f>(Tabela14[[#This Row],[REGIÃO01-3%]]*0.06)+Tabela14[[#This Row],[REGIÃO01-3%]]</f>
        <v>0</v>
      </c>
      <c r="L387" s="34" t="e">
        <f>(Tabela14[[#This Row],[PRECO 3%]]*0.05)+Tabela14[[#This Row],[PRECO 3%]]</f>
        <v>#N/A</v>
      </c>
      <c r="M387" s="34" t="e">
        <f>(Tabela14[[#This Row],[REGIÃO02 - 3%]]*0.06)+Tabela14[[#This Row],[REGIÃO02 - 3%]]</f>
        <v>#N/A</v>
      </c>
      <c r="N387" s="34" t="e">
        <f>(Tabela14[[#This Row],[PRECO 3%]]*0.08)+Tabela14[[#This Row],[PRECO 3%]]</f>
        <v>#N/A</v>
      </c>
      <c r="O387" s="34" t="e">
        <f>(Tabela14[[#This Row],[REGIÃO03-3%]]*0.06)+Tabela14[[#This Row],[REGIÃO03-3%]]</f>
        <v>#N/A</v>
      </c>
      <c r="P387" s="34" t="e">
        <f>(Tabela14[[#This Row],[PRECO 3%]]*0.06)+Tabela14[[#This Row],[PRECO 3%]]</f>
        <v>#N/A</v>
      </c>
      <c r="Q387" s="34" t="e">
        <f>(Tabela14[[#This Row],[REGIÃO04-3%]]*0.06)+Tabela14[[#This Row],[REGIÃO04-3%]]</f>
        <v>#N/A</v>
      </c>
    </row>
    <row r="388" spans="2:17" ht="15.75" thickBot="1" x14ac:dyDescent="0.3">
      <c r="B388" t="s">
        <v>27</v>
      </c>
      <c r="C388" t="s">
        <v>56</v>
      </c>
      <c r="D388" t="s">
        <v>59</v>
      </c>
      <c r="E388" s="1" t="s">
        <v>322</v>
      </c>
      <c r="F388" t="e">
        <f>VLOOKUP(Tabela14[[#This Row],[ID_COD]],Tabela2[],6,0)</f>
        <v>#N/A</v>
      </c>
      <c r="H388" s="23" t="e">
        <v>#N/A</v>
      </c>
      <c r="I388" s="34" t="e">
        <f>Tabela14[[#This Row],[PRECO 3%]]+(Tabela14[[#This Row],[PRECO 3%]]*0.06)</f>
        <v>#N/A</v>
      </c>
      <c r="J388" s="34"/>
      <c r="K388" s="34">
        <f>(Tabela14[[#This Row],[REGIÃO01-3%]]*0.06)+Tabela14[[#This Row],[REGIÃO01-3%]]</f>
        <v>0</v>
      </c>
      <c r="L388" s="34" t="e">
        <f>(Tabela14[[#This Row],[PRECO 3%]]*0.05)+Tabela14[[#This Row],[PRECO 3%]]</f>
        <v>#N/A</v>
      </c>
      <c r="M388" s="34" t="e">
        <f>(Tabela14[[#This Row],[REGIÃO02 - 3%]]*0.06)+Tabela14[[#This Row],[REGIÃO02 - 3%]]</f>
        <v>#N/A</v>
      </c>
      <c r="N388" s="34" t="e">
        <f>(Tabela14[[#This Row],[PRECO 3%]]*0.08)+Tabela14[[#This Row],[PRECO 3%]]</f>
        <v>#N/A</v>
      </c>
      <c r="O388" s="34" t="e">
        <f>(Tabela14[[#This Row],[REGIÃO03-3%]]*0.06)+Tabela14[[#This Row],[REGIÃO03-3%]]</f>
        <v>#N/A</v>
      </c>
      <c r="P388" s="34" t="e">
        <f>(Tabela14[[#This Row],[PRECO 3%]]*0.06)+Tabela14[[#This Row],[PRECO 3%]]</f>
        <v>#N/A</v>
      </c>
      <c r="Q388" s="34" t="e">
        <f>(Tabela14[[#This Row],[REGIÃO04-3%]]*0.06)+Tabela14[[#This Row],[REGIÃO04-3%]]</f>
        <v>#N/A</v>
      </c>
    </row>
    <row r="389" spans="2:17" ht="15.75" thickBot="1" x14ac:dyDescent="0.3">
      <c r="B389" t="s">
        <v>27</v>
      </c>
      <c r="C389" t="s">
        <v>29</v>
      </c>
      <c r="D389" t="s">
        <v>60</v>
      </c>
      <c r="E389" s="1" t="s">
        <v>322</v>
      </c>
      <c r="F389" t="e">
        <f>VLOOKUP(Tabela14[[#This Row],[ID_COD]],Tabela2[],6,0)</f>
        <v>#N/A</v>
      </c>
      <c r="H389" s="23">
        <v>3.66</v>
      </c>
      <c r="I389" s="34">
        <f>Tabela14[[#This Row],[PRECO 3%]]+(Tabela14[[#This Row],[PRECO 3%]]*0.06)</f>
        <v>3.8795999999999999</v>
      </c>
      <c r="J389" s="34"/>
      <c r="K389" s="34">
        <f>(Tabela14[[#This Row],[REGIÃO01-3%]]*0.06)+Tabela14[[#This Row],[REGIÃO01-3%]]</f>
        <v>0</v>
      </c>
      <c r="L389" s="34">
        <f>(Tabela14[[#This Row],[PRECO 3%]]*0.05)+Tabela14[[#This Row],[PRECO 3%]]</f>
        <v>3.843</v>
      </c>
      <c r="M389" s="34">
        <f>(Tabela14[[#This Row],[REGIÃO02 - 3%]]*0.06)+Tabela14[[#This Row],[REGIÃO02 - 3%]]</f>
        <v>4.0735799999999998</v>
      </c>
      <c r="N389" s="34">
        <f>(Tabela14[[#This Row],[PRECO 3%]]*0.08)+Tabela14[[#This Row],[PRECO 3%]]</f>
        <v>3.9528000000000003</v>
      </c>
      <c r="O389" s="34">
        <f>(Tabela14[[#This Row],[REGIÃO03-3%]]*0.06)+Tabela14[[#This Row],[REGIÃO03-3%]]</f>
        <v>4.1899680000000004</v>
      </c>
      <c r="P389" s="34">
        <f>(Tabela14[[#This Row],[PRECO 3%]]*0.06)+Tabela14[[#This Row],[PRECO 3%]]</f>
        <v>3.8795999999999999</v>
      </c>
      <c r="Q389" s="34">
        <f>(Tabela14[[#This Row],[REGIÃO04-3%]]*0.06)+Tabela14[[#This Row],[REGIÃO04-3%]]</f>
        <v>4.1123760000000003</v>
      </c>
    </row>
    <row r="390" spans="2:17" ht="15.75" thickBot="1" x14ac:dyDescent="0.3">
      <c r="B390" t="s">
        <v>27</v>
      </c>
      <c r="C390" t="s">
        <v>34</v>
      </c>
      <c r="D390" t="s">
        <v>60</v>
      </c>
      <c r="E390" s="1" t="s">
        <v>322</v>
      </c>
      <c r="F390" t="e">
        <f>VLOOKUP(Tabela14[[#This Row],[ID_COD]],Tabela2[],6,0)</f>
        <v>#N/A</v>
      </c>
      <c r="H390" s="23" t="e">
        <v>#N/A</v>
      </c>
      <c r="I390" s="34" t="e">
        <f>Tabela14[[#This Row],[PRECO 3%]]+(Tabela14[[#This Row],[PRECO 3%]]*0.06)</f>
        <v>#N/A</v>
      </c>
      <c r="J390" s="34"/>
      <c r="K390" s="34">
        <f>(Tabela14[[#This Row],[REGIÃO01-3%]]*0.06)+Tabela14[[#This Row],[REGIÃO01-3%]]</f>
        <v>0</v>
      </c>
      <c r="L390" s="34" t="e">
        <f>(Tabela14[[#This Row],[PRECO 3%]]*0.05)+Tabela14[[#This Row],[PRECO 3%]]</f>
        <v>#N/A</v>
      </c>
      <c r="M390" s="34" t="e">
        <f>(Tabela14[[#This Row],[REGIÃO02 - 3%]]*0.06)+Tabela14[[#This Row],[REGIÃO02 - 3%]]</f>
        <v>#N/A</v>
      </c>
      <c r="N390" s="34" t="e">
        <f>(Tabela14[[#This Row],[PRECO 3%]]*0.08)+Tabela14[[#This Row],[PRECO 3%]]</f>
        <v>#N/A</v>
      </c>
      <c r="O390" s="34" t="e">
        <f>(Tabela14[[#This Row],[REGIÃO03-3%]]*0.06)+Tabela14[[#This Row],[REGIÃO03-3%]]</f>
        <v>#N/A</v>
      </c>
      <c r="P390" s="34" t="e">
        <f>(Tabela14[[#This Row],[PRECO 3%]]*0.06)+Tabela14[[#This Row],[PRECO 3%]]</f>
        <v>#N/A</v>
      </c>
      <c r="Q390" s="34" t="e">
        <f>(Tabela14[[#This Row],[REGIÃO04-3%]]*0.06)+Tabela14[[#This Row],[REGIÃO04-3%]]</f>
        <v>#N/A</v>
      </c>
    </row>
    <row r="391" spans="2:17" ht="15.75" thickBot="1" x14ac:dyDescent="0.3">
      <c r="B391" t="s">
        <v>27</v>
      </c>
      <c r="C391" t="s">
        <v>36</v>
      </c>
      <c r="D391" t="s">
        <v>60</v>
      </c>
      <c r="E391" s="1" t="s">
        <v>322</v>
      </c>
      <c r="F391" t="e">
        <f>VLOOKUP(Tabela14[[#This Row],[ID_COD]],Tabela2[],6,0)</f>
        <v>#N/A</v>
      </c>
      <c r="H391" s="23" t="e">
        <v>#N/A</v>
      </c>
      <c r="I391" s="34" t="e">
        <f>Tabela14[[#This Row],[PRECO 3%]]+(Tabela14[[#This Row],[PRECO 3%]]*0.06)</f>
        <v>#N/A</v>
      </c>
      <c r="J391" s="34"/>
      <c r="K391" s="34">
        <f>(Tabela14[[#This Row],[REGIÃO01-3%]]*0.06)+Tabela14[[#This Row],[REGIÃO01-3%]]</f>
        <v>0</v>
      </c>
      <c r="L391" s="34" t="e">
        <f>(Tabela14[[#This Row],[PRECO 3%]]*0.05)+Tabela14[[#This Row],[PRECO 3%]]</f>
        <v>#N/A</v>
      </c>
      <c r="M391" s="34" t="e">
        <f>(Tabela14[[#This Row],[REGIÃO02 - 3%]]*0.06)+Tabela14[[#This Row],[REGIÃO02 - 3%]]</f>
        <v>#N/A</v>
      </c>
      <c r="N391" s="34" t="e">
        <f>(Tabela14[[#This Row],[PRECO 3%]]*0.08)+Tabela14[[#This Row],[PRECO 3%]]</f>
        <v>#N/A</v>
      </c>
      <c r="O391" s="34" t="e">
        <f>(Tabela14[[#This Row],[REGIÃO03-3%]]*0.06)+Tabela14[[#This Row],[REGIÃO03-3%]]</f>
        <v>#N/A</v>
      </c>
      <c r="P391" s="34" t="e">
        <f>(Tabela14[[#This Row],[PRECO 3%]]*0.06)+Tabela14[[#This Row],[PRECO 3%]]</f>
        <v>#N/A</v>
      </c>
      <c r="Q391" s="34" t="e">
        <f>(Tabela14[[#This Row],[REGIÃO04-3%]]*0.06)+Tabela14[[#This Row],[REGIÃO04-3%]]</f>
        <v>#N/A</v>
      </c>
    </row>
    <row r="392" spans="2:17" ht="15.75" thickBot="1" x14ac:dyDescent="0.3">
      <c r="B392" t="s">
        <v>27</v>
      </c>
      <c r="C392" t="s">
        <v>41</v>
      </c>
      <c r="D392" t="s">
        <v>60</v>
      </c>
      <c r="E392" s="1" t="s">
        <v>322</v>
      </c>
      <c r="F392" t="e">
        <f>VLOOKUP(Tabela14[[#This Row],[ID_COD]],Tabela2[],6,0)</f>
        <v>#N/A</v>
      </c>
      <c r="H392" s="23" t="e">
        <v>#N/A</v>
      </c>
      <c r="I392" s="34" t="e">
        <f>Tabela14[[#This Row],[PRECO 3%]]+(Tabela14[[#This Row],[PRECO 3%]]*0.06)</f>
        <v>#N/A</v>
      </c>
      <c r="J392" s="34"/>
      <c r="K392" s="34">
        <f>(Tabela14[[#This Row],[REGIÃO01-3%]]*0.06)+Tabela14[[#This Row],[REGIÃO01-3%]]</f>
        <v>0</v>
      </c>
      <c r="L392" s="34" t="e">
        <f>(Tabela14[[#This Row],[PRECO 3%]]*0.05)+Tabela14[[#This Row],[PRECO 3%]]</f>
        <v>#N/A</v>
      </c>
      <c r="M392" s="34" t="e">
        <f>(Tabela14[[#This Row],[REGIÃO02 - 3%]]*0.06)+Tabela14[[#This Row],[REGIÃO02 - 3%]]</f>
        <v>#N/A</v>
      </c>
      <c r="N392" s="34" t="e">
        <f>(Tabela14[[#This Row],[PRECO 3%]]*0.08)+Tabela14[[#This Row],[PRECO 3%]]</f>
        <v>#N/A</v>
      </c>
      <c r="O392" s="34" t="e">
        <f>(Tabela14[[#This Row],[REGIÃO03-3%]]*0.06)+Tabela14[[#This Row],[REGIÃO03-3%]]</f>
        <v>#N/A</v>
      </c>
      <c r="P392" s="34" t="e">
        <f>(Tabela14[[#This Row],[PRECO 3%]]*0.06)+Tabela14[[#This Row],[PRECO 3%]]</f>
        <v>#N/A</v>
      </c>
      <c r="Q392" s="34" t="e">
        <f>(Tabela14[[#This Row],[REGIÃO04-3%]]*0.06)+Tabela14[[#This Row],[REGIÃO04-3%]]</f>
        <v>#N/A</v>
      </c>
    </row>
    <row r="393" spans="2:17" ht="15.75" thickBot="1" x14ac:dyDescent="0.3">
      <c r="B393" t="s">
        <v>27</v>
      </c>
      <c r="C393" t="s">
        <v>49</v>
      </c>
      <c r="D393" t="s">
        <v>61</v>
      </c>
      <c r="E393" s="1" t="s">
        <v>322</v>
      </c>
      <c r="F393" t="e">
        <f>VLOOKUP(Tabela14[[#This Row],[ID_COD]],Tabela2[],6,0)</f>
        <v>#N/A</v>
      </c>
      <c r="H393" s="23" t="e">
        <v>#N/A</v>
      </c>
      <c r="I393" s="34" t="e">
        <f>Tabela14[[#This Row],[PRECO 3%]]+(Tabela14[[#This Row],[PRECO 3%]]*0.06)</f>
        <v>#N/A</v>
      </c>
      <c r="J393" s="34"/>
      <c r="K393" s="34">
        <f>(Tabela14[[#This Row],[REGIÃO01-3%]]*0.06)+Tabela14[[#This Row],[REGIÃO01-3%]]</f>
        <v>0</v>
      </c>
      <c r="L393" s="34" t="e">
        <f>(Tabela14[[#This Row],[PRECO 3%]]*0.05)+Tabela14[[#This Row],[PRECO 3%]]</f>
        <v>#N/A</v>
      </c>
      <c r="M393" s="34" t="e">
        <f>(Tabela14[[#This Row],[REGIÃO02 - 3%]]*0.06)+Tabela14[[#This Row],[REGIÃO02 - 3%]]</f>
        <v>#N/A</v>
      </c>
      <c r="N393" s="34" t="e">
        <f>(Tabela14[[#This Row],[PRECO 3%]]*0.08)+Tabela14[[#This Row],[PRECO 3%]]</f>
        <v>#N/A</v>
      </c>
      <c r="O393" s="34" t="e">
        <f>(Tabela14[[#This Row],[REGIÃO03-3%]]*0.06)+Tabela14[[#This Row],[REGIÃO03-3%]]</f>
        <v>#N/A</v>
      </c>
      <c r="P393" s="34" t="e">
        <f>(Tabela14[[#This Row],[PRECO 3%]]*0.06)+Tabela14[[#This Row],[PRECO 3%]]</f>
        <v>#N/A</v>
      </c>
      <c r="Q393" s="34" t="e">
        <f>(Tabela14[[#This Row],[REGIÃO04-3%]]*0.06)+Tabela14[[#This Row],[REGIÃO04-3%]]</f>
        <v>#N/A</v>
      </c>
    </row>
    <row r="394" spans="2:17" ht="15.75" thickBot="1" x14ac:dyDescent="0.3">
      <c r="B394" t="s">
        <v>27</v>
      </c>
      <c r="C394" t="s">
        <v>51</v>
      </c>
      <c r="D394" t="s">
        <v>61</v>
      </c>
      <c r="E394" s="1" t="s">
        <v>322</v>
      </c>
      <c r="F394" t="e">
        <f>VLOOKUP(Tabela14[[#This Row],[ID_COD]],Tabela2[],6,0)</f>
        <v>#N/A</v>
      </c>
      <c r="H394" s="23" t="e">
        <v>#N/A</v>
      </c>
      <c r="I394" s="34" t="e">
        <f>Tabela14[[#This Row],[PRECO 3%]]+(Tabela14[[#This Row],[PRECO 3%]]*0.06)</f>
        <v>#N/A</v>
      </c>
      <c r="J394" s="34"/>
      <c r="K394" s="34">
        <f>(Tabela14[[#This Row],[REGIÃO01-3%]]*0.06)+Tabela14[[#This Row],[REGIÃO01-3%]]</f>
        <v>0</v>
      </c>
      <c r="L394" s="34" t="e">
        <f>(Tabela14[[#This Row],[PRECO 3%]]*0.05)+Tabela14[[#This Row],[PRECO 3%]]</f>
        <v>#N/A</v>
      </c>
      <c r="M394" s="34" t="e">
        <f>(Tabela14[[#This Row],[REGIÃO02 - 3%]]*0.06)+Tabela14[[#This Row],[REGIÃO02 - 3%]]</f>
        <v>#N/A</v>
      </c>
      <c r="N394" s="34" t="e">
        <f>(Tabela14[[#This Row],[PRECO 3%]]*0.08)+Tabela14[[#This Row],[PRECO 3%]]</f>
        <v>#N/A</v>
      </c>
      <c r="O394" s="34" t="e">
        <f>(Tabela14[[#This Row],[REGIÃO03-3%]]*0.06)+Tabela14[[#This Row],[REGIÃO03-3%]]</f>
        <v>#N/A</v>
      </c>
      <c r="P394" s="34" t="e">
        <f>(Tabela14[[#This Row],[PRECO 3%]]*0.06)+Tabela14[[#This Row],[PRECO 3%]]</f>
        <v>#N/A</v>
      </c>
      <c r="Q394" s="34" t="e">
        <f>(Tabela14[[#This Row],[REGIÃO04-3%]]*0.06)+Tabela14[[#This Row],[REGIÃO04-3%]]</f>
        <v>#N/A</v>
      </c>
    </row>
    <row r="395" spans="2:17" ht="15.75" thickBot="1" x14ac:dyDescent="0.3">
      <c r="B395" t="s">
        <v>27</v>
      </c>
      <c r="C395" t="s">
        <v>56</v>
      </c>
      <c r="D395" t="s">
        <v>61</v>
      </c>
      <c r="E395" s="1" t="s">
        <v>322</v>
      </c>
      <c r="F395" t="e">
        <f>VLOOKUP(Tabela14[[#This Row],[ID_COD]],Tabela2[],6,0)</f>
        <v>#N/A</v>
      </c>
      <c r="H395" s="30" t="e">
        <v>#N/A</v>
      </c>
      <c r="I395" s="34" t="e">
        <f>Tabela14[[#This Row],[PRECO 3%]]+(Tabela14[[#This Row],[PRECO 3%]]*0.06)</f>
        <v>#N/A</v>
      </c>
      <c r="J395" s="34"/>
      <c r="K395" s="34">
        <f>(Tabela14[[#This Row],[REGIÃO01-3%]]*0.06)+Tabela14[[#This Row],[REGIÃO01-3%]]</f>
        <v>0</v>
      </c>
      <c r="L395" s="34" t="e">
        <f>(Tabela14[[#This Row],[PRECO 3%]]*0.05)+Tabela14[[#This Row],[PRECO 3%]]</f>
        <v>#N/A</v>
      </c>
      <c r="M395" s="34" t="e">
        <f>(Tabela14[[#This Row],[REGIÃO02 - 3%]]*0.06)+Tabela14[[#This Row],[REGIÃO02 - 3%]]</f>
        <v>#N/A</v>
      </c>
      <c r="N395" s="34" t="e">
        <f>(Tabela14[[#This Row],[PRECO 3%]]*0.08)+Tabela14[[#This Row],[PRECO 3%]]</f>
        <v>#N/A</v>
      </c>
      <c r="O395" s="34" t="e">
        <f>(Tabela14[[#This Row],[REGIÃO03-3%]]*0.06)+Tabela14[[#This Row],[REGIÃO03-3%]]</f>
        <v>#N/A</v>
      </c>
      <c r="P395" s="34" t="e">
        <f>(Tabela14[[#This Row],[PRECO 3%]]*0.06)+Tabela14[[#This Row],[PRECO 3%]]</f>
        <v>#N/A</v>
      </c>
      <c r="Q395" s="34" t="e">
        <f>(Tabela14[[#This Row],[REGIÃO04-3%]]*0.06)+Tabela14[[#This Row],[REGIÃO04-3%]]</f>
        <v>#N/A</v>
      </c>
    </row>
    <row r="396" spans="2:17" x14ac:dyDescent="0.25">
      <c r="B396" t="s">
        <v>62</v>
      </c>
      <c r="C396" t="s">
        <v>29</v>
      </c>
      <c r="D396" t="s">
        <v>28</v>
      </c>
      <c r="E396" s="1" t="s">
        <v>322</v>
      </c>
      <c r="F396" t="e">
        <f>VLOOKUP(Tabela14[[#This Row],[ID_COD]],Tabela2[],6,0)</f>
        <v>#N/A</v>
      </c>
      <c r="H396" s="31" t="e">
        <v>#N/A</v>
      </c>
      <c r="I396" s="34" t="e">
        <f>Tabela14[[#This Row],[PRECO 3%]]+(Tabela14[[#This Row],[PRECO 3%]]*0.06)</f>
        <v>#N/A</v>
      </c>
      <c r="J396" s="34"/>
      <c r="K396" s="34">
        <f>(Tabela14[[#This Row],[REGIÃO01-3%]]*0.06)+Tabela14[[#This Row],[REGIÃO01-3%]]</f>
        <v>0</v>
      </c>
      <c r="L396" s="34" t="e">
        <f>(Tabela14[[#This Row],[PRECO 3%]]*0.05)+Tabela14[[#This Row],[PRECO 3%]]</f>
        <v>#N/A</v>
      </c>
      <c r="M396" s="34" t="e">
        <f>(Tabela14[[#This Row],[REGIÃO02 - 3%]]*0.06)+Tabela14[[#This Row],[REGIÃO02 - 3%]]</f>
        <v>#N/A</v>
      </c>
      <c r="N396" s="34" t="e">
        <f>(Tabela14[[#This Row],[PRECO 3%]]*0.08)+Tabela14[[#This Row],[PRECO 3%]]</f>
        <v>#N/A</v>
      </c>
      <c r="O396" s="34" t="e">
        <f>(Tabela14[[#This Row],[REGIÃO03-3%]]*0.06)+Tabela14[[#This Row],[REGIÃO03-3%]]</f>
        <v>#N/A</v>
      </c>
      <c r="P396" s="34" t="e">
        <f>(Tabela14[[#This Row],[PRECO 3%]]*0.06)+Tabela14[[#This Row],[PRECO 3%]]</f>
        <v>#N/A</v>
      </c>
      <c r="Q396" s="34" t="e">
        <f>(Tabela14[[#This Row],[REGIÃO04-3%]]*0.06)+Tabela14[[#This Row],[REGIÃO04-3%]]</f>
        <v>#N/A</v>
      </c>
    </row>
    <row r="397" spans="2:17" ht="15.75" thickBot="1" x14ac:dyDescent="0.3">
      <c r="B397" t="s">
        <v>62</v>
      </c>
      <c r="C397" t="s">
        <v>34</v>
      </c>
      <c r="D397" t="s">
        <v>28</v>
      </c>
      <c r="E397" s="1" t="s">
        <v>322</v>
      </c>
      <c r="F397" t="e">
        <f>VLOOKUP(Tabela14[[#This Row],[ID_COD]],Tabela2[],6,0)</f>
        <v>#N/A</v>
      </c>
      <c r="H397" s="24" t="e">
        <v>#N/A</v>
      </c>
      <c r="I397" s="34" t="e">
        <f>Tabela14[[#This Row],[PRECO 3%]]+(Tabela14[[#This Row],[PRECO 3%]]*0.06)</f>
        <v>#N/A</v>
      </c>
      <c r="J397" s="34"/>
      <c r="K397" s="34">
        <f>(Tabela14[[#This Row],[REGIÃO01-3%]]*0.06)+Tabela14[[#This Row],[REGIÃO01-3%]]</f>
        <v>0</v>
      </c>
      <c r="L397" s="34" t="e">
        <f>(Tabela14[[#This Row],[PRECO 3%]]*0.05)+Tabela14[[#This Row],[PRECO 3%]]</f>
        <v>#N/A</v>
      </c>
      <c r="M397" s="34" t="e">
        <f>(Tabela14[[#This Row],[REGIÃO02 - 3%]]*0.06)+Tabela14[[#This Row],[REGIÃO02 - 3%]]</f>
        <v>#N/A</v>
      </c>
      <c r="N397" s="34" t="e">
        <f>(Tabela14[[#This Row],[PRECO 3%]]*0.08)+Tabela14[[#This Row],[PRECO 3%]]</f>
        <v>#N/A</v>
      </c>
      <c r="O397" s="34" t="e">
        <f>(Tabela14[[#This Row],[REGIÃO03-3%]]*0.06)+Tabela14[[#This Row],[REGIÃO03-3%]]</f>
        <v>#N/A</v>
      </c>
      <c r="P397" s="34" t="e">
        <f>(Tabela14[[#This Row],[PRECO 3%]]*0.06)+Tabela14[[#This Row],[PRECO 3%]]</f>
        <v>#N/A</v>
      </c>
      <c r="Q397" s="34" t="e">
        <f>(Tabela14[[#This Row],[REGIÃO04-3%]]*0.06)+Tabela14[[#This Row],[REGIÃO04-3%]]</f>
        <v>#N/A</v>
      </c>
    </row>
    <row r="398" spans="2:17" ht="15.75" thickBot="1" x14ac:dyDescent="0.3">
      <c r="B398" t="s">
        <v>62</v>
      </c>
      <c r="C398" t="s">
        <v>36</v>
      </c>
      <c r="D398" t="s">
        <v>28</v>
      </c>
      <c r="E398" s="1" t="s">
        <v>322</v>
      </c>
      <c r="F398" t="e">
        <f>VLOOKUP(Tabela14[[#This Row],[ID_COD]],Tabela2[],6,0)</f>
        <v>#N/A</v>
      </c>
      <c r="H398" s="24" t="e">
        <v>#N/A</v>
      </c>
      <c r="I398" s="34" t="e">
        <f>Tabela14[[#This Row],[PRECO 3%]]+(Tabela14[[#This Row],[PRECO 3%]]*0.06)</f>
        <v>#N/A</v>
      </c>
      <c r="J398" s="34"/>
      <c r="K398" s="34">
        <f>(Tabela14[[#This Row],[REGIÃO01-3%]]*0.06)+Tabela14[[#This Row],[REGIÃO01-3%]]</f>
        <v>0</v>
      </c>
      <c r="L398" s="34" t="e">
        <f>(Tabela14[[#This Row],[PRECO 3%]]*0.05)+Tabela14[[#This Row],[PRECO 3%]]</f>
        <v>#N/A</v>
      </c>
      <c r="M398" s="34" t="e">
        <f>(Tabela14[[#This Row],[REGIÃO02 - 3%]]*0.06)+Tabela14[[#This Row],[REGIÃO02 - 3%]]</f>
        <v>#N/A</v>
      </c>
      <c r="N398" s="34" t="e">
        <f>(Tabela14[[#This Row],[PRECO 3%]]*0.08)+Tabela14[[#This Row],[PRECO 3%]]</f>
        <v>#N/A</v>
      </c>
      <c r="O398" s="34" t="e">
        <f>(Tabela14[[#This Row],[REGIÃO03-3%]]*0.06)+Tabela14[[#This Row],[REGIÃO03-3%]]</f>
        <v>#N/A</v>
      </c>
      <c r="P398" s="34" t="e">
        <f>(Tabela14[[#This Row],[PRECO 3%]]*0.06)+Tabela14[[#This Row],[PRECO 3%]]</f>
        <v>#N/A</v>
      </c>
      <c r="Q398" s="34" t="e">
        <f>(Tabela14[[#This Row],[REGIÃO04-3%]]*0.06)+Tabela14[[#This Row],[REGIÃO04-3%]]</f>
        <v>#N/A</v>
      </c>
    </row>
    <row r="399" spans="2:17" ht="15.75" thickBot="1" x14ac:dyDescent="0.3">
      <c r="B399" t="s">
        <v>62</v>
      </c>
      <c r="C399" t="s">
        <v>41</v>
      </c>
      <c r="D399" t="s">
        <v>28</v>
      </c>
      <c r="E399" s="1" t="s">
        <v>322</v>
      </c>
      <c r="F399" t="e">
        <f>VLOOKUP(Tabela14[[#This Row],[ID_COD]],Tabela2[],6,0)</f>
        <v>#N/A</v>
      </c>
      <c r="H399" s="23" t="e">
        <v>#N/A</v>
      </c>
      <c r="I399" s="34" t="e">
        <f>Tabela14[[#This Row],[PRECO 3%]]+(Tabela14[[#This Row],[PRECO 3%]]*0.06)</f>
        <v>#N/A</v>
      </c>
      <c r="J399" s="34"/>
      <c r="K399" s="34">
        <f>(Tabela14[[#This Row],[REGIÃO01-3%]]*0.06)+Tabela14[[#This Row],[REGIÃO01-3%]]</f>
        <v>0</v>
      </c>
      <c r="L399" s="34" t="e">
        <f>(Tabela14[[#This Row],[PRECO 3%]]*0.05)+Tabela14[[#This Row],[PRECO 3%]]</f>
        <v>#N/A</v>
      </c>
      <c r="M399" s="34" t="e">
        <f>(Tabela14[[#This Row],[REGIÃO02 - 3%]]*0.06)+Tabela14[[#This Row],[REGIÃO02 - 3%]]</f>
        <v>#N/A</v>
      </c>
      <c r="N399" s="34" t="e">
        <f>(Tabela14[[#This Row],[PRECO 3%]]*0.08)+Tabela14[[#This Row],[PRECO 3%]]</f>
        <v>#N/A</v>
      </c>
      <c r="O399" s="34" t="e">
        <f>(Tabela14[[#This Row],[REGIÃO03-3%]]*0.06)+Tabela14[[#This Row],[REGIÃO03-3%]]</f>
        <v>#N/A</v>
      </c>
      <c r="P399" s="34" t="e">
        <f>(Tabela14[[#This Row],[PRECO 3%]]*0.06)+Tabela14[[#This Row],[PRECO 3%]]</f>
        <v>#N/A</v>
      </c>
      <c r="Q399" s="34" t="e">
        <f>(Tabela14[[#This Row],[REGIÃO04-3%]]*0.06)+Tabela14[[#This Row],[REGIÃO04-3%]]</f>
        <v>#N/A</v>
      </c>
    </row>
    <row r="400" spans="2:17" ht="15.75" thickBot="1" x14ac:dyDescent="0.3">
      <c r="B400" t="s">
        <v>62</v>
      </c>
      <c r="C400" t="s">
        <v>44</v>
      </c>
      <c r="D400" t="s">
        <v>43</v>
      </c>
      <c r="E400" s="1" t="s">
        <v>322</v>
      </c>
      <c r="F400" t="e">
        <f>VLOOKUP(Tabela14[[#This Row],[ID_COD]],Tabela2[],6,0)</f>
        <v>#N/A</v>
      </c>
      <c r="H400" s="23">
        <v>4.2699999999999996</v>
      </c>
      <c r="I400" s="34">
        <f>Tabela14[[#This Row],[PRECO 3%]]+(Tabela14[[#This Row],[PRECO 3%]]*0.06)</f>
        <v>4.5261999999999993</v>
      </c>
      <c r="J400" s="34"/>
      <c r="K400" s="34">
        <f>(Tabela14[[#This Row],[REGIÃO01-3%]]*0.06)+Tabela14[[#This Row],[REGIÃO01-3%]]</f>
        <v>0</v>
      </c>
      <c r="L400" s="34">
        <f>(Tabela14[[#This Row],[PRECO 3%]]*0.05)+Tabela14[[#This Row],[PRECO 3%]]</f>
        <v>4.4834999999999994</v>
      </c>
      <c r="M400" s="34">
        <f>(Tabela14[[#This Row],[REGIÃO02 - 3%]]*0.06)+Tabela14[[#This Row],[REGIÃO02 - 3%]]</f>
        <v>4.7525099999999991</v>
      </c>
      <c r="N400" s="34">
        <f>(Tabela14[[#This Row],[PRECO 3%]]*0.08)+Tabela14[[#This Row],[PRECO 3%]]</f>
        <v>4.6115999999999993</v>
      </c>
      <c r="O400" s="34">
        <f>(Tabela14[[#This Row],[REGIÃO03-3%]]*0.06)+Tabela14[[#This Row],[REGIÃO03-3%]]</f>
        <v>4.8882959999999995</v>
      </c>
      <c r="P400" s="34">
        <f>(Tabela14[[#This Row],[PRECO 3%]]*0.06)+Tabela14[[#This Row],[PRECO 3%]]</f>
        <v>4.5261999999999993</v>
      </c>
      <c r="Q400" s="34">
        <f>(Tabela14[[#This Row],[REGIÃO04-3%]]*0.06)+Tabela14[[#This Row],[REGIÃO04-3%]]</f>
        <v>4.7977719999999993</v>
      </c>
    </row>
    <row r="401" spans="2:17" ht="15.75" thickBot="1" x14ac:dyDescent="0.3">
      <c r="B401" t="s">
        <v>62</v>
      </c>
      <c r="C401" t="s">
        <v>49</v>
      </c>
      <c r="D401" t="s">
        <v>43</v>
      </c>
      <c r="E401" s="1" t="s">
        <v>322</v>
      </c>
      <c r="F401" t="e">
        <f>VLOOKUP(Tabela14[[#This Row],[ID_COD]],Tabela2[],6,0)</f>
        <v>#N/A</v>
      </c>
      <c r="H401" s="23" t="e">
        <v>#N/A</v>
      </c>
      <c r="I401" s="34" t="e">
        <f>Tabela14[[#This Row],[PRECO 3%]]+(Tabela14[[#This Row],[PRECO 3%]]*0.06)</f>
        <v>#N/A</v>
      </c>
      <c r="J401" s="34"/>
      <c r="K401" s="34">
        <f>(Tabela14[[#This Row],[REGIÃO01-3%]]*0.06)+Tabela14[[#This Row],[REGIÃO01-3%]]</f>
        <v>0</v>
      </c>
      <c r="L401" s="34" t="e">
        <f>(Tabela14[[#This Row],[PRECO 3%]]*0.05)+Tabela14[[#This Row],[PRECO 3%]]</f>
        <v>#N/A</v>
      </c>
      <c r="M401" s="34" t="e">
        <f>(Tabela14[[#This Row],[REGIÃO02 - 3%]]*0.06)+Tabela14[[#This Row],[REGIÃO02 - 3%]]</f>
        <v>#N/A</v>
      </c>
      <c r="N401" s="34" t="e">
        <f>(Tabela14[[#This Row],[PRECO 3%]]*0.08)+Tabela14[[#This Row],[PRECO 3%]]</f>
        <v>#N/A</v>
      </c>
      <c r="O401" s="34" t="e">
        <f>(Tabela14[[#This Row],[REGIÃO03-3%]]*0.06)+Tabela14[[#This Row],[REGIÃO03-3%]]</f>
        <v>#N/A</v>
      </c>
      <c r="P401" s="34" t="e">
        <f>(Tabela14[[#This Row],[PRECO 3%]]*0.06)+Tabela14[[#This Row],[PRECO 3%]]</f>
        <v>#N/A</v>
      </c>
      <c r="Q401" s="34" t="e">
        <f>(Tabela14[[#This Row],[REGIÃO04-3%]]*0.06)+Tabela14[[#This Row],[REGIÃO04-3%]]</f>
        <v>#N/A</v>
      </c>
    </row>
    <row r="402" spans="2:17" ht="15.75" thickBot="1" x14ac:dyDescent="0.3">
      <c r="B402" t="s">
        <v>62</v>
      </c>
      <c r="C402" t="s">
        <v>51</v>
      </c>
      <c r="D402" t="s">
        <v>43</v>
      </c>
      <c r="E402" s="1" t="s">
        <v>322</v>
      </c>
      <c r="F402" t="e">
        <f>VLOOKUP(Tabela14[[#This Row],[ID_COD]],Tabela2[],6,0)</f>
        <v>#N/A</v>
      </c>
      <c r="H402" s="23" t="e">
        <v>#N/A</v>
      </c>
      <c r="I402" s="34" t="e">
        <f>Tabela14[[#This Row],[PRECO 3%]]+(Tabela14[[#This Row],[PRECO 3%]]*0.06)</f>
        <v>#N/A</v>
      </c>
      <c r="J402" s="34"/>
      <c r="K402" s="34">
        <f>(Tabela14[[#This Row],[REGIÃO01-3%]]*0.06)+Tabela14[[#This Row],[REGIÃO01-3%]]</f>
        <v>0</v>
      </c>
      <c r="L402" s="34" t="e">
        <f>(Tabela14[[#This Row],[PRECO 3%]]*0.05)+Tabela14[[#This Row],[PRECO 3%]]</f>
        <v>#N/A</v>
      </c>
      <c r="M402" s="34" t="e">
        <f>(Tabela14[[#This Row],[REGIÃO02 - 3%]]*0.06)+Tabela14[[#This Row],[REGIÃO02 - 3%]]</f>
        <v>#N/A</v>
      </c>
      <c r="N402" s="34" t="e">
        <f>(Tabela14[[#This Row],[PRECO 3%]]*0.08)+Tabela14[[#This Row],[PRECO 3%]]</f>
        <v>#N/A</v>
      </c>
      <c r="O402" s="34" t="e">
        <f>(Tabela14[[#This Row],[REGIÃO03-3%]]*0.06)+Tabela14[[#This Row],[REGIÃO03-3%]]</f>
        <v>#N/A</v>
      </c>
      <c r="P402" s="34" t="e">
        <f>(Tabela14[[#This Row],[PRECO 3%]]*0.06)+Tabela14[[#This Row],[PRECO 3%]]</f>
        <v>#N/A</v>
      </c>
      <c r="Q402" s="34" t="e">
        <f>(Tabela14[[#This Row],[REGIÃO04-3%]]*0.06)+Tabela14[[#This Row],[REGIÃO04-3%]]</f>
        <v>#N/A</v>
      </c>
    </row>
    <row r="403" spans="2:17" ht="15.75" thickBot="1" x14ac:dyDescent="0.3">
      <c r="B403" t="s">
        <v>62</v>
      </c>
      <c r="C403" t="s">
        <v>56</v>
      </c>
      <c r="D403" t="s">
        <v>43</v>
      </c>
      <c r="E403" s="1" t="s">
        <v>322</v>
      </c>
      <c r="F403" t="e">
        <f>VLOOKUP(Tabela14[[#This Row],[ID_COD]],Tabela2[],6,0)</f>
        <v>#N/A</v>
      </c>
      <c r="H403" s="23" t="e">
        <v>#N/A</v>
      </c>
      <c r="I403" s="34" t="e">
        <f>Tabela14[[#This Row],[PRECO 3%]]+(Tabela14[[#This Row],[PRECO 3%]]*0.06)</f>
        <v>#N/A</v>
      </c>
      <c r="J403" s="34"/>
      <c r="K403" s="34">
        <f>(Tabela14[[#This Row],[REGIÃO01-3%]]*0.06)+Tabela14[[#This Row],[REGIÃO01-3%]]</f>
        <v>0</v>
      </c>
      <c r="L403" s="34" t="e">
        <f>(Tabela14[[#This Row],[PRECO 3%]]*0.05)+Tabela14[[#This Row],[PRECO 3%]]</f>
        <v>#N/A</v>
      </c>
      <c r="M403" s="34" t="e">
        <f>(Tabela14[[#This Row],[REGIÃO02 - 3%]]*0.06)+Tabela14[[#This Row],[REGIÃO02 - 3%]]</f>
        <v>#N/A</v>
      </c>
      <c r="N403" s="34" t="e">
        <f>(Tabela14[[#This Row],[PRECO 3%]]*0.08)+Tabela14[[#This Row],[PRECO 3%]]</f>
        <v>#N/A</v>
      </c>
      <c r="O403" s="34" t="e">
        <f>(Tabela14[[#This Row],[REGIÃO03-3%]]*0.06)+Tabela14[[#This Row],[REGIÃO03-3%]]</f>
        <v>#N/A</v>
      </c>
      <c r="P403" s="34" t="e">
        <f>(Tabela14[[#This Row],[PRECO 3%]]*0.06)+Tabela14[[#This Row],[PRECO 3%]]</f>
        <v>#N/A</v>
      </c>
      <c r="Q403" s="34" t="e">
        <f>(Tabela14[[#This Row],[REGIÃO04-3%]]*0.06)+Tabela14[[#This Row],[REGIÃO04-3%]]</f>
        <v>#N/A</v>
      </c>
    </row>
    <row r="404" spans="2:17" ht="15.75" thickBot="1" x14ac:dyDescent="0.3">
      <c r="B404" t="s">
        <v>62</v>
      </c>
      <c r="C404" t="s">
        <v>29</v>
      </c>
      <c r="D404" t="s">
        <v>58</v>
      </c>
      <c r="E404" s="1" t="s">
        <v>322</v>
      </c>
      <c r="F404" t="e">
        <f>VLOOKUP(Tabela14[[#This Row],[ID_COD]],Tabela2[],6,0)</f>
        <v>#N/A</v>
      </c>
      <c r="H404" s="28">
        <v>3.66</v>
      </c>
      <c r="I404" s="34">
        <f>Tabela14[[#This Row],[PRECO 3%]]+(Tabela14[[#This Row],[PRECO 3%]]*0.06)</f>
        <v>3.8795999999999999</v>
      </c>
      <c r="J404" s="34"/>
      <c r="K404" s="34">
        <f>(Tabela14[[#This Row],[REGIÃO01-3%]]*0.06)+Tabela14[[#This Row],[REGIÃO01-3%]]</f>
        <v>0</v>
      </c>
      <c r="L404" s="34">
        <f>(Tabela14[[#This Row],[PRECO 3%]]*0.05)+Tabela14[[#This Row],[PRECO 3%]]</f>
        <v>3.843</v>
      </c>
      <c r="M404" s="34">
        <f>(Tabela14[[#This Row],[REGIÃO02 - 3%]]*0.06)+Tabela14[[#This Row],[REGIÃO02 - 3%]]</f>
        <v>4.0735799999999998</v>
      </c>
      <c r="N404" s="34">
        <f>(Tabela14[[#This Row],[PRECO 3%]]*0.08)+Tabela14[[#This Row],[PRECO 3%]]</f>
        <v>3.9528000000000003</v>
      </c>
      <c r="O404" s="34">
        <f>(Tabela14[[#This Row],[REGIÃO03-3%]]*0.06)+Tabela14[[#This Row],[REGIÃO03-3%]]</f>
        <v>4.1899680000000004</v>
      </c>
      <c r="P404" s="34">
        <f>(Tabela14[[#This Row],[PRECO 3%]]*0.06)+Tabela14[[#This Row],[PRECO 3%]]</f>
        <v>3.8795999999999999</v>
      </c>
      <c r="Q404" s="34">
        <f>(Tabela14[[#This Row],[REGIÃO04-3%]]*0.06)+Tabela14[[#This Row],[REGIÃO04-3%]]</f>
        <v>4.1123760000000003</v>
      </c>
    </row>
    <row r="405" spans="2:17" ht="15.75" thickBot="1" x14ac:dyDescent="0.3">
      <c r="B405" t="s">
        <v>62</v>
      </c>
      <c r="C405" t="s">
        <v>34</v>
      </c>
      <c r="D405" t="s">
        <v>58</v>
      </c>
      <c r="E405" s="1" t="s">
        <v>322</v>
      </c>
      <c r="F405" t="e">
        <f>VLOOKUP(Tabela14[[#This Row],[ID_COD]],Tabela2[],6,0)</f>
        <v>#N/A</v>
      </c>
      <c r="H405" s="23" t="e">
        <v>#N/A</v>
      </c>
      <c r="I405" s="34" t="e">
        <f>Tabela14[[#This Row],[PRECO 3%]]+(Tabela14[[#This Row],[PRECO 3%]]*0.06)</f>
        <v>#N/A</v>
      </c>
      <c r="J405" s="34"/>
      <c r="K405" s="34">
        <f>(Tabela14[[#This Row],[REGIÃO01-3%]]*0.06)+Tabela14[[#This Row],[REGIÃO01-3%]]</f>
        <v>0</v>
      </c>
      <c r="L405" s="34" t="e">
        <f>(Tabela14[[#This Row],[PRECO 3%]]*0.05)+Tabela14[[#This Row],[PRECO 3%]]</f>
        <v>#N/A</v>
      </c>
      <c r="M405" s="34" t="e">
        <f>(Tabela14[[#This Row],[REGIÃO02 - 3%]]*0.06)+Tabela14[[#This Row],[REGIÃO02 - 3%]]</f>
        <v>#N/A</v>
      </c>
      <c r="N405" s="34" t="e">
        <f>(Tabela14[[#This Row],[PRECO 3%]]*0.08)+Tabela14[[#This Row],[PRECO 3%]]</f>
        <v>#N/A</v>
      </c>
      <c r="O405" s="34" t="e">
        <f>(Tabela14[[#This Row],[REGIÃO03-3%]]*0.06)+Tabela14[[#This Row],[REGIÃO03-3%]]</f>
        <v>#N/A</v>
      </c>
      <c r="P405" s="34" t="e">
        <f>(Tabela14[[#This Row],[PRECO 3%]]*0.06)+Tabela14[[#This Row],[PRECO 3%]]</f>
        <v>#N/A</v>
      </c>
      <c r="Q405" s="34" t="e">
        <f>(Tabela14[[#This Row],[REGIÃO04-3%]]*0.06)+Tabela14[[#This Row],[REGIÃO04-3%]]</f>
        <v>#N/A</v>
      </c>
    </row>
    <row r="406" spans="2:17" ht="15.75" thickBot="1" x14ac:dyDescent="0.3">
      <c r="B406" t="s">
        <v>62</v>
      </c>
      <c r="C406" t="s">
        <v>36</v>
      </c>
      <c r="D406" t="s">
        <v>58</v>
      </c>
      <c r="E406" s="1" t="s">
        <v>322</v>
      </c>
      <c r="F406" t="e">
        <f>VLOOKUP(Tabela14[[#This Row],[ID_COD]],Tabela2[],6,0)</f>
        <v>#N/A</v>
      </c>
      <c r="H406" s="23" t="e">
        <v>#N/A</v>
      </c>
      <c r="I406" s="34" t="e">
        <f>Tabela14[[#This Row],[PRECO 3%]]+(Tabela14[[#This Row],[PRECO 3%]]*0.06)</f>
        <v>#N/A</v>
      </c>
      <c r="J406" s="34"/>
      <c r="K406" s="34">
        <f>(Tabela14[[#This Row],[REGIÃO01-3%]]*0.06)+Tabela14[[#This Row],[REGIÃO01-3%]]</f>
        <v>0</v>
      </c>
      <c r="L406" s="34" t="e">
        <f>(Tabela14[[#This Row],[PRECO 3%]]*0.05)+Tabela14[[#This Row],[PRECO 3%]]</f>
        <v>#N/A</v>
      </c>
      <c r="M406" s="34" t="e">
        <f>(Tabela14[[#This Row],[REGIÃO02 - 3%]]*0.06)+Tabela14[[#This Row],[REGIÃO02 - 3%]]</f>
        <v>#N/A</v>
      </c>
      <c r="N406" s="34" t="e">
        <f>(Tabela14[[#This Row],[PRECO 3%]]*0.08)+Tabela14[[#This Row],[PRECO 3%]]</f>
        <v>#N/A</v>
      </c>
      <c r="O406" s="34" t="e">
        <f>(Tabela14[[#This Row],[REGIÃO03-3%]]*0.06)+Tabela14[[#This Row],[REGIÃO03-3%]]</f>
        <v>#N/A</v>
      </c>
      <c r="P406" s="34" t="e">
        <f>(Tabela14[[#This Row],[PRECO 3%]]*0.06)+Tabela14[[#This Row],[PRECO 3%]]</f>
        <v>#N/A</v>
      </c>
      <c r="Q406" s="34" t="e">
        <f>(Tabela14[[#This Row],[REGIÃO04-3%]]*0.06)+Tabela14[[#This Row],[REGIÃO04-3%]]</f>
        <v>#N/A</v>
      </c>
    </row>
    <row r="407" spans="2:17" ht="15.75" thickBot="1" x14ac:dyDescent="0.3">
      <c r="B407" t="s">
        <v>62</v>
      </c>
      <c r="C407" t="s">
        <v>41</v>
      </c>
      <c r="D407" t="s">
        <v>58</v>
      </c>
      <c r="E407" s="1" t="s">
        <v>322</v>
      </c>
      <c r="F407" t="e">
        <f>VLOOKUP(Tabela14[[#This Row],[ID_COD]],Tabela2[],6,0)</f>
        <v>#N/A</v>
      </c>
      <c r="H407" s="23" t="e">
        <v>#N/A</v>
      </c>
      <c r="I407" s="34" t="e">
        <f>Tabela14[[#This Row],[PRECO 3%]]+(Tabela14[[#This Row],[PRECO 3%]]*0.06)</f>
        <v>#N/A</v>
      </c>
      <c r="J407" s="34"/>
      <c r="K407" s="34">
        <f>(Tabela14[[#This Row],[REGIÃO01-3%]]*0.06)+Tabela14[[#This Row],[REGIÃO01-3%]]</f>
        <v>0</v>
      </c>
      <c r="L407" s="34" t="e">
        <f>(Tabela14[[#This Row],[PRECO 3%]]*0.05)+Tabela14[[#This Row],[PRECO 3%]]</f>
        <v>#N/A</v>
      </c>
      <c r="M407" s="34" t="e">
        <f>(Tabela14[[#This Row],[REGIÃO02 - 3%]]*0.06)+Tabela14[[#This Row],[REGIÃO02 - 3%]]</f>
        <v>#N/A</v>
      </c>
      <c r="N407" s="34" t="e">
        <f>(Tabela14[[#This Row],[PRECO 3%]]*0.08)+Tabela14[[#This Row],[PRECO 3%]]</f>
        <v>#N/A</v>
      </c>
      <c r="O407" s="34" t="e">
        <f>(Tabela14[[#This Row],[REGIÃO03-3%]]*0.06)+Tabela14[[#This Row],[REGIÃO03-3%]]</f>
        <v>#N/A</v>
      </c>
      <c r="P407" s="34" t="e">
        <f>(Tabela14[[#This Row],[PRECO 3%]]*0.06)+Tabela14[[#This Row],[PRECO 3%]]</f>
        <v>#N/A</v>
      </c>
      <c r="Q407" s="34" t="e">
        <f>(Tabela14[[#This Row],[REGIÃO04-3%]]*0.06)+Tabela14[[#This Row],[REGIÃO04-3%]]</f>
        <v>#N/A</v>
      </c>
    </row>
    <row r="408" spans="2:17" x14ac:dyDescent="0.25">
      <c r="B408" t="s">
        <v>62</v>
      </c>
      <c r="C408" t="s">
        <v>44</v>
      </c>
      <c r="D408" t="s">
        <v>59</v>
      </c>
      <c r="E408" s="1" t="s">
        <v>322</v>
      </c>
      <c r="F408" t="e">
        <f>VLOOKUP(Tabela14[[#This Row],[ID_COD]],Tabela2[],6,0)</f>
        <v>#N/A</v>
      </c>
      <c r="H408" s="29">
        <v>4.2699999999999996</v>
      </c>
      <c r="I408" s="34">
        <f>Tabela14[[#This Row],[PRECO 3%]]+(Tabela14[[#This Row],[PRECO 3%]]*0.06)</f>
        <v>4.5261999999999993</v>
      </c>
      <c r="J408" s="34"/>
      <c r="K408" s="34">
        <f>(Tabela14[[#This Row],[REGIÃO01-3%]]*0.06)+Tabela14[[#This Row],[REGIÃO01-3%]]</f>
        <v>0</v>
      </c>
      <c r="L408" s="34">
        <f>(Tabela14[[#This Row],[PRECO 3%]]*0.05)+Tabela14[[#This Row],[PRECO 3%]]</f>
        <v>4.4834999999999994</v>
      </c>
      <c r="M408" s="34">
        <f>(Tabela14[[#This Row],[REGIÃO02 - 3%]]*0.06)+Tabela14[[#This Row],[REGIÃO02 - 3%]]</f>
        <v>4.7525099999999991</v>
      </c>
      <c r="N408" s="34">
        <f>(Tabela14[[#This Row],[PRECO 3%]]*0.08)+Tabela14[[#This Row],[PRECO 3%]]</f>
        <v>4.6115999999999993</v>
      </c>
      <c r="O408" s="34">
        <f>(Tabela14[[#This Row],[REGIÃO03-3%]]*0.06)+Tabela14[[#This Row],[REGIÃO03-3%]]</f>
        <v>4.8882959999999995</v>
      </c>
      <c r="P408" s="34">
        <f>(Tabela14[[#This Row],[PRECO 3%]]*0.06)+Tabela14[[#This Row],[PRECO 3%]]</f>
        <v>4.5261999999999993</v>
      </c>
      <c r="Q408" s="34">
        <f>(Tabela14[[#This Row],[REGIÃO04-3%]]*0.06)+Tabela14[[#This Row],[REGIÃO04-3%]]</f>
        <v>4.7977719999999993</v>
      </c>
    </row>
    <row r="409" spans="2:17" ht="15.75" thickBot="1" x14ac:dyDescent="0.3">
      <c r="B409" t="s">
        <v>62</v>
      </c>
      <c r="C409" t="s">
        <v>49</v>
      </c>
      <c r="D409" t="s">
        <v>59</v>
      </c>
      <c r="E409" s="1" t="s">
        <v>322</v>
      </c>
      <c r="F409" t="e">
        <f>VLOOKUP(Tabela14[[#This Row],[ID_COD]],Tabela2[],6,0)</f>
        <v>#N/A</v>
      </c>
      <c r="H409" s="24" t="e">
        <v>#N/A</v>
      </c>
      <c r="I409" s="34" t="e">
        <f>Tabela14[[#This Row],[PRECO 3%]]+(Tabela14[[#This Row],[PRECO 3%]]*0.06)</f>
        <v>#N/A</v>
      </c>
      <c r="J409" s="34"/>
      <c r="K409" s="34">
        <f>(Tabela14[[#This Row],[REGIÃO01-3%]]*0.06)+Tabela14[[#This Row],[REGIÃO01-3%]]</f>
        <v>0</v>
      </c>
      <c r="L409" s="34" t="e">
        <f>(Tabela14[[#This Row],[PRECO 3%]]*0.05)+Tabela14[[#This Row],[PRECO 3%]]</f>
        <v>#N/A</v>
      </c>
      <c r="M409" s="34" t="e">
        <f>(Tabela14[[#This Row],[REGIÃO02 - 3%]]*0.06)+Tabela14[[#This Row],[REGIÃO02 - 3%]]</f>
        <v>#N/A</v>
      </c>
      <c r="N409" s="34" t="e">
        <f>(Tabela14[[#This Row],[PRECO 3%]]*0.08)+Tabela14[[#This Row],[PRECO 3%]]</f>
        <v>#N/A</v>
      </c>
      <c r="O409" s="34" t="e">
        <f>(Tabela14[[#This Row],[REGIÃO03-3%]]*0.06)+Tabela14[[#This Row],[REGIÃO03-3%]]</f>
        <v>#N/A</v>
      </c>
      <c r="P409" s="34" t="e">
        <f>(Tabela14[[#This Row],[PRECO 3%]]*0.06)+Tabela14[[#This Row],[PRECO 3%]]</f>
        <v>#N/A</v>
      </c>
      <c r="Q409" s="34" t="e">
        <f>(Tabela14[[#This Row],[REGIÃO04-3%]]*0.06)+Tabela14[[#This Row],[REGIÃO04-3%]]</f>
        <v>#N/A</v>
      </c>
    </row>
    <row r="410" spans="2:17" ht="15.75" thickBot="1" x14ac:dyDescent="0.3">
      <c r="B410" t="s">
        <v>62</v>
      </c>
      <c r="C410" t="s">
        <v>51</v>
      </c>
      <c r="D410" t="s">
        <v>59</v>
      </c>
      <c r="E410" s="1" t="s">
        <v>322</v>
      </c>
      <c r="F410" t="e">
        <f>VLOOKUP(Tabela14[[#This Row],[ID_COD]],Tabela2[],6,0)</f>
        <v>#N/A</v>
      </c>
      <c r="H410" s="23" t="e">
        <v>#N/A</v>
      </c>
      <c r="I410" s="34" t="e">
        <f>Tabela14[[#This Row],[PRECO 3%]]+(Tabela14[[#This Row],[PRECO 3%]]*0.06)</f>
        <v>#N/A</v>
      </c>
      <c r="J410" s="34"/>
      <c r="K410" s="34">
        <f>(Tabela14[[#This Row],[REGIÃO01-3%]]*0.06)+Tabela14[[#This Row],[REGIÃO01-3%]]</f>
        <v>0</v>
      </c>
      <c r="L410" s="34" t="e">
        <f>(Tabela14[[#This Row],[PRECO 3%]]*0.05)+Tabela14[[#This Row],[PRECO 3%]]</f>
        <v>#N/A</v>
      </c>
      <c r="M410" s="34" t="e">
        <f>(Tabela14[[#This Row],[REGIÃO02 - 3%]]*0.06)+Tabela14[[#This Row],[REGIÃO02 - 3%]]</f>
        <v>#N/A</v>
      </c>
      <c r="N410" s="34" t="e">
        <f>(Tabela14[[#This Row],[PRECO 3%]]*0.08)+Tabela14[[#This Row],[PRECO 3%]]</f>
        <v>#N/A</v>
      </c>
      <c r="O410" s="34" t="e">
        <f>(Tabela14[[#This Row],[REGIÃO03-3%]]*0.06)+Tabela14[[#This Row],[REGIÃO03-3%]]</f>
        <v>#N/A</v>
      </c>
      <c r="P410" s="34" t="e">
        <f>(Tabela14[[#This Row],[PRECO 3%]]*0.06)+Tabela14[[#This Row],[PRECO 3%]]</f>
        <v>#N/A</v>
      </c>
      <c r="Q410" s="34" t="e">
        <f>(Tabela14[[#This Row],[REGIÃO04-3%]]*0.06)+Tabela14[[#This Row],[REGIÃO04-3%]]</f>
        <v>#N/A</v>
      </c>
    </row>
    <row r="411" spans="2:17" ht="15.75" thickBot="1" x14ac:dyDescent="0.3">
      <c r="B411" t="s">
        <v>62</v>
      </c>
      <c r="C411" t="s">
        <v>56</v>
      </c>
      <c r="D411" t="s">
        <v>59</v>
      </c>
      <c r="E411" s="1" t="s">
        <v>322</v>
      </c>
      <c r="F411" t="e">
        <f>VLOOKUP(Tabela14[[#This Row],[ID_COD]],Tabela2[],6,0)</f>
        <v>#N/A</v>
      </c>
      <c r="H411" s="23" t="e">
        <v>#N/A</v>
      </c>
      <c r="I411" s="34" t="e">
        <f>Tabela14[[#This Row],[PRECO 3%]]+(Tabela14[[#This Row],[PRECO 3%]]*0.06)</f>
        <v>#N/A</v>
      </c>
      <c r="J411" s="34"/>
      <c r="K411" s="34">
        <f>(Tabela14[[#This Row],[REGIÃO01-3%]]*0.06)+Tabela14[[#This Row],[REGIÃO01-3%]]</f>
        <v>0</v>
      </c>
      <c r="L411" s="34" t="e">
        <f>(Tabela14[[#This Row],[PRECO 3%]]*0.05)+Tabela14[[#This Row],[PRECO 3%]]</f>
        <v>#N/A</v>
      </c>
      <c r="M411" s="34" t="e">
        <f>(Tabela14[[#This Row],[REGIÃO02 - 3%]]*0.06)+Tabela14[[#This Row],[REGIÃO02 - 3%]]</f>
        <v>#N/A</v>
      </c>
      <c r="N411" s="34" t="e">
        <f>(Tabela14[[#This Row],[PRECO 3%]]*0.08)+Tabela14[[#This Row],[PRECO 3%]]</f>
        <v>#N/A</v>
      </c>
      <c r="O411" s="34" t="e">
        <f>(Tabela14[[#This Row],[REGIÃO03-3%]]*0.06)+Tabela14[[#This Row],[REGIÃO03-3%]]</f>
        <v>#N/A</v>
      </c>
      <c r="P411" s="34" t="e">
        <f>(Tabela14[[#This Row],[PRECO 3%]]*0.06)+Tabela14[[#This Row],[PRECO 3%]]</f>
        <v>#N/A</v>
      </c>
      <c r="Q411" s="34" t="e">
        <f>(Tabela14[[#This Row],[REGIÃO04-3%]]*0.06)+Tabela14[[#This Row],[REGIÃO04-3%]]</f>
        <v>#N/A</v>
      </c>
    </row>
    <row r="412" spans="2:17" ht="15.75" thickBot="1" x14ac:dyDescent="0.3">
      <c r="B412" t="s">
        <v>62</v>
      </c>
      <c r="C412" t="s">
        <v>29</v>
      </c>
      <c r="D412" t="s">
        <v>60</v>
      </c>
      <c r="E412" s="1" t="s">
        <v>322</v>
      </c>
      <c r="F412" t="e">
        <f>VLOOKUP(Tabela14[[#This Row],[ID_COD]],Tabela2[],6,0)</f>
        <v>#N/A</v>
      </c>
      <c r="H412" s="23">
        <v>3.66</v>
      </c>
      <c r="I412" s="34">
        <f>Tabela14[[#This Row],[PRECO 3%]]+(Tabela14[[#This Row],[PRECO 3%]]*0.06)</f>
        <v>3.8795999999999999</v>
      </c>
      <c r="J412" s="34"/>
      <c r="K412" s="34">
        <f>(Tabela14[[#This Row],[REGIÃO01-3%]]*0.06)+Tabela14[[#This Row],[REGIÃO01-3%]]</f>
        <v>0</v>
      </c>
      <c r="L412" s="34">
        <f>(Tabela14[[#This Row],[PRECO 3%]]*0.05)+Tabela14[[#This Row],[PRECO 3%]]</f>
        <v>3.843</v>
      </c>
      <c r="M412" s="34">
        <f>(Tabela14[[#This Row],[REGIÃO02 - 3%]]*0.06)+Tabela14[[#This Row],[REGIÃO02 - 3%]]</f>
        <v>4.0735799999999998</v>
      </c>
      <c r="N412" s="34">
        <f>(Tabela14[[#This Row],[PRECO 3%]]*0.08)+Tabela14[[#This Row],[PRECO 3%]]</f>
        <v>3.9528000000000003</v>
      </c>
      <c r="O412" s="34">
        <f>(Tabela14[[#This Row],[REGIÃO03-3%]]*0.06)+Tabela14[[#This Row],[REGIÃO03-3%]]</f>
        <v>4.1899680000000004</v>
      </c>
      <c r="P412" s="34">
        <f>(Tabela14[[#This Row],[PRECO 3%]]*0.06)+Tabela14[[#This Row],[PRECO 3%]]</f>
        <v>3.8795999999999999</v>
      </c>
      <c r="Q412" s="34">
        <f>(Tabela14[[#This Row],[REGIÃO04-3%]]*0.06)+Tabela14[[#This Row],[REGIÃO04-3%]]</f>
        <v>4.1123760000000003</v>
      </c>
    </row>
    <row r="413" spans="2:17" ht="15.75" thickBot="1" x14ac:dyDescent="0.3">
      <c r="B413" t="s">
        <v>62</v>
      </c>
      <c r="C413" t="s">
        <v>34</v>
      </c>
      <c r="D413" t="s">
        <v>60</v>
      </c>
      <c r="E413" s="1" t="s">
        <v>322</v>
      </c>
      <c r="F413" t="e">
        <f>VLOOKUP(Tabela14[[#This Row],[ID_COD]],Tabela2[],6,0)</f>
        <v>#N/A</v>
      </c>
      <c r="H413" s="23" t="e">
        <v>#N/A</v>
      </c>
      <c r="I413" s="34" t="e">
        <f>Tabela14[[#This Row],[PRECO 3%]]+(Tabela14[[#This Row],[PRECO 3%]]*0.06)</f>
        <v>#N/A</v>
      </c>
      <c r="J413" s="34"/>
      <c r="K413" s="34">
        <f>(Tabela14[[#This Row],[REGIÃO01-3%]]*0.06)+Tabela14[[#This Row],[REGIÃO01-3%]]</f>
        <v>0</v>
      </c>
      <c r="L413" s="34" t="e">
        <f>(Tabela14[[#This Row],[PRECO 3%]]*0.05)+Tabela14[[#This Row],[PRECO 3%]]</f>
        <v>#N/A</v>
      </c>
      <c r="M413" s="34" t="e">
        <f>(Tabela14[[#This Row],[REGIÃO02 - 3%]]*0.06)+Tabela14[[#This Row],[REGIÃO02 - 3%]]</f>
        <v>#N/A</v>
      </c>
      <c r="N413" s="34" t="e">
        <f>(Tabela14[[#This Row],[PRECO 3%]]*0.08)+Tabela14[[#This Row],[PRECO 3%]]</f>
        <v>#N/A</v>
      </c>
      <c r="O413" s="34" t="e">
        <f>(Tabela14[[#This Row],[REGIÃO03-3%]]*0.06)+Tabela14[[#This Row],[REGIÃO03-3%]]</f>
        <v>#N/A</v>
      </c>
      <c r="P413" s="34" t="e">
        <f>(Tabela14[[#This Row],[PRECO 3%]]*0.06)+Tabela14[[#This Row],[PRECO 3%]]</f>
        <v>#N/A</v>
      </c>
      <c r="Q413" s="34" t="e">
        <f>(Tabela14[[#This Row],[REGIÃO04-3%]]*0.06)+Tabela14[[#This Row],[REGIÃO04-3%]]</f>
        <v>#N/A</v>
      </c>
    </row>
    <row r="414" spans="2:17" ht="15.75" thickBot="1" x14ac:dyDescent="0.3">
      <c r="B414" t="s">
        <v>62</v>
      </c>
      <c r="C414" t="s">
        <v>36</v>
      </c>
      <c r="D414" t="s">
        <v>60</v>
      </c>
      <c r="E414" s="1" t="s">
        <v>322</v>
      </c>
      <c r="F414" t="e">
        <f>VLOOKUP(Tabela14[[#This Row],[ID_COD]],Tabela2[],6,0)</f>
        <v>#N/A</v>
      </c>
      <c r="H414" s="23" t="e">
        <v>#N/A</v>
      </c>
      <c r="I414" s="34" t="e">
        <f>Tabela14[[#This Row],[PRECO 3%]]+(Tabela14[[#This Row],[PRECO 3%]]*0.06)</f>
        <v>#N/A</v>
      </c>
      <c r="J414" s="34"/>
      <c r="K414" s="34">
        <f>(Tabela14[[#This Row],[REGIÃO01-3%]]*0.06)+Tabela14[[#This Row],[REGIÃO01-3%]]</f>
        <v>0</v>
      </c>
      <c r="L414" s="34" t="e">
        <f>(Tabela14[[#This Row],[PRECO 3%]]*0.05)+Tabela14[[#This Row],[PRECO 3%]]</f>
        <v>#N/A</v>
      </c>
      <c r="M414" s="34" t="e">
        <f>(Tabela14[[#This Row],[REGIÃO02 - 3%]]*0.06)+Tabela14[[#This Row],[REGIÃO02 - 3%]]</f>
        <v>#N/A</v>
      </c>
      <c r="N414" s="34" t="e">
        <f>(Tabela14[[#This Row],[PRECO 3%]]*0.08)+Tabela14[[#This Row],[PRECO 3%]]</f>
        <v>#N/A</v>
      </c>
      <c r="O414" s="34" t="e">
        <f>(Tabela14[[#This Row],[REGIÃO03-3%]]*0.06)+Tabela14[[#This Row],[REGIÃO03-3%]]</f>
        <v>#N/A</v>
      </c>
      <c r="P414" s="34" t="e">
        <f>(Tabela14[[#This Row],[PRECO 3%]]*0.06)+Tabela14[[#This Row],[PRECO 3%]]</f>
        <v>#N/A</v>
      </c>
      <c r="Q414" s="34" t="e">
        <f>(Tabela14[[#This Row],[REGIÃO04-3%]]*0.06)+Tabela14[[#This Row],[REGIÃO04-3%]]</f>
        <v>#N/A</v>
      </c>
    </row>
    <row r="415" spans="2:17" ht="15.75" thickBot="1" x14ac:dyDescent="0.3">
      <c r="B415" t="s">
        <v>62</v>
      </c>
      <c r="C415" t="s">
        <v>41</v>
      </c>
      <c r="D415" t="s">
        <v>60</v>
      </c>
      <c r="E415" s="1" t="s">
        <v>322</v>
      </c>
      <c r="F415" t="e">
        <f>VLOOKUP(Tabela14[[#This Row],[ID_COD]],Tabela2[],6,0)</f>
        <v>#N/A</v>
      </c>
      <c r="H415" s="23" t="e">
        <v>#N/A</v>
      </c>
      <c r="I415" s="34" t="e">
        <f>Tabela14[[#This Row],[PRECO 3%]]+(Tabela14[[#This Row],[PRECO 3%]]*0.06)</f>
        <v>#N/A</v>
      </c>
      <c r="J415" s="34"/>
      <c r="K415" s="34">
        <f>(Tabela14[[#This Row],[REGIÃO01-3%]]*0.06)+Tabela14[[#This Row],[REGIÃO01-3%]]</f>
        <v>0</v>
      </c>
      <c r="L415" s="34" t="e">
        <f>(Tabela14[[#This Row],[PRECO 3%]]*0.05)+Tabela14[[#This Row],[PRECO 3%]]</f>
        <v>#N/A</v>
      </c>
      <c r="M415" s="34" t="e">
        <f>(Tabela14[[#This Row],[REGIÃO02 - 3%]]*0.06)+Tabela14[[#This Row],[REGIÃO02 - 3%]]</f>
        <v>#N/A</v>
      </c>
      <c r="N415" s="34" t="e">
        <f>(Tabela14[[#This Row],[PRECO 3%]]*0.08)+Tabela14[[#This Row],[PRECO 3%]]</f>
        <v>#N/A</v>
      </c>
      <c r="O415" s="34" t="e">
        <f>(Tabela14[[#This Row],[REGIÃO03-3%]]*0.06)+Tabela14[[#This Row],[REGIÃO03-3%]]</f>
        <v>#N/A</v>
      </c>
      <c r="P415" s="34" t="e">
        <f>(Tabela14[[#This Row],[PRECO 3%]]*0.06)+Tabela14[[#This Row],[PRECO 3%]]</f>
        <v>#N/A</v>
      </c>
      <c r="Q415" s="34" t="e">
        <f>(Tabela14[[#This Row],[REGIÃO04-3%]]*0.06)+Tabela14[[#This Row],[REGIÃO04-3%]]</f>
        <v>#N/A</v>
      </c>
    </row>
    <row r="416" spans="2:17" ht="15.75" thickBot="1" x14ac:dyDescent="0.3">
      <c r="B416" t="s">
        <v>62</v>
      </c>
      <c r="C416" t="s">
        <v>44</v>
      </c>
      <c r="D416" t="s">
        <v>61</v>
      </c>
      <c r="E416" s="1" t="s">
        <v>322</v>
      </c>
      <c r="F416" t="e">
        <f>VLOOKUP(Tabela14[[#This Row],[ID_COD]],Tabela2[],6,0)</f>
        <v>#N/A</v>
      </c>
      <c r="H416" s="23">
        <v>4.2699999999999996</v>
      </c>
      <c r="I416" s="34">
        <f>Tabela14[[#This Row],[PRECO 3%]]+(Tabela14[[#This Row],[PRECO 3%]]*0.06)</f>
        <v>4.5261999999999993</v>
      </c>
      <c r="J416" s="34"/>
      <c r="K416" s="34">
        <f>(Tabela14[[#This Row],[REGIÃO01-3%]]*0.06)+Tabela14[[#This Row],[REGIÃO01-3%]]</f>
        <v>0</v>
      </c>
      <c r="L416" s="34">
        <f>(Tabela14[[#This Row],[PRECO 3%]]*0.05)+Tabela14[[#This Row],[PRECO 3%]]</f>
        <v>4.4834999999999994</v>
      </c>
      <c r="M416" s="34">
        <f>(Tabela14[[#This Row],[REGIÃO02 - 3%]]*0.06)+Tabela14[[#This Row],[REGIÃO02 - 3%]]</f>
        <v>4.7525099999999991</v>
      </c>
      <c r="N416" s="34">
        <f>(Tabela14[[#This Row],[PRECO 3%]]*0.08)+Tabela14[[#This Row],[PRECO 3%]]</f>
        <v>4.6115999999999993</v>
      </c>
      <c r="O416" s="34">
        <f>(Tabela14[[#This Row],[REGIÃO03-3%]]*0.06)+Tabela14[[#This Row],[REGIÃO03-3%]]</f>
        <v>4.8882959999999995</v>
      </c>
      <c r="P416" s="34">
        <f>(Tabela14[[#This Row],[PRECO 3%]]*0.06)+Tabela14[[#This Row],[PRECO 3%]]</f>
        <v>4.5261999999999993</v>
      </c>
      <c r="Q416" s="34">
        <f>(Tabela14[[#This Row],[REGIÃO04-3%]]*0.06)+Tabela14[[#This Row],[REGIÃO04-3%]]</f>
        <v>4.7977719999999993</v>
      </c>
    </row>
    <row r="417" spans="1:17" ht="15.75" thickBot="1" x14ac:dyDescent="0.3">
      <c r="B417" t="s">
        <v>62</v>
      </c>
      <c r="C417" t="s">
        <v>49</v>
      </c>
      <c r="D417" t="s">
        <v>61</v>
      </c>
      <c r="E417" s="1" t="s">
        <v>322</v>
      </c>
      <c r="F417" t="e">
        <f>VLOOKUP(Tabela14[[#This Row],[ID_COD]],Tabela2[],6,0)</f>
        <v>#N/A</v>
      </c>
      <c r="H417" s="23" t="e">
        <v>#N/A</v>
      </c>
      <c r="I417" s="34" t="e">
        <f>Tabela14[[#This Row],[PRECO 3%]]+(Tabela14[[#This Row],[PRECO 3%]]*0.06)</f>
        <v>#N/A</v>
      </c>
      <c r="J417" s="34"/>
      <c r="K417" s="34">
        <f>(Tabela14[[#This Row],[REGIÃO01-3%]]*0.06)+Tabela14[[#This Row],[REGIÃO01-3%]]</f>
        <v>0</v>
      </c>
      <c r="L417" s="34" t="e">
        <f>(Tabela14[[#This Row],[PRECO 3%]]*0.05)+Tabela14[[#This Row],[PRECO 3%]]</f>
        <v>#N/A</v>
      </c>
      <c r="M417" s="34" t="e">
        <f>(Tabela14[[#This Row],[REGIÃO02 - 3%]]*0.06)+Tabela14[[#This Row],[REGIÃO02 - 3%]]</f>
        <v>#N/A</v>
      </c>
      <c r="N417" s="34" t="e">
        <f>(Tabela14[[#This Row],[PRECO 3%]]*0.08)+Tabela14[[#This Row],[PRECO 3%]]</f>
        <v>#N/A</v>
      </c>
      <c r="O417" s="34" t="e">
        <f>(Tabela14[[#This Row],[REGIÃO03-3%]]*0.06)+Tabela14[[#This Row],[REGIÃO03-3%]]</f>
        <v>#N/A</v>
      </c>
      <c r="P417" s="34" t="e">
        <f>(Tabela14[[#This Row],[PRECO 3%]]*0.06)+Tabela14[[#This Row],[PRECO 3%]]</f>
        <v>#N/A</v>
      </c>
      <c r="Q417" s="34" t="e">
        <f>(Tabela14[[#This Row],[REGIÃO04-3%]]*0.06)+Tabela14[[#This Row],[REGIÃO04-3%]]</f>
        <v>#N/A</v>
      </c>
    </row>
    <row r="418" spans="1:17" x14ac:dyDescent="0.25">
      <c r="B418" t="s">
        <v>62</v>
      </c>
      <c r="C418" t="s">
        <v>51</v>
      </c>
      <c r="D418" t="s">
        <v>61</v>
      </c>
      <c r="E418" s="1" t="s">
        <v>322</v>
      </c>
      <c r="F418" t="e">
        <f>VLOOKUP(Tabela14[[#This Row],[ID_COD]],Tabela2[],6,0)</f>
        <v>#N/A</v>
      </c>
      <c r="H418" s="29" t="e">
        <v>#N/A</v>
      </c>
      <c r="I418" s="34" t="e">
        <f>Tabela14[[#This Row],[PRECO 3%]]+(Tabela14[[#This Row],[PRECO 3%]]*0.06)</f>
        <v>#N/A</v>
      </c>
      <c r="J418" s="34"/>
      <c r="K418" s="34">
        <f>(Tabela14[[#This Row],[REGIÃO01-3%]]*0.06)+Tabela14[[#This Row],[REGIÃO01-3%]]</f>
        <v>0</v>
      </c>
      <c r="L418" s="34" t="e">
        <f>(Tabela14[[#This Row],[PRECO 3%]]*0.05)+Tabela14[[#This Row],[PRECO 3%]]</f>
        <v>#N/A</v>
      </c>
      <c r="M418" s="34" t="e">
        <f>(Tabela14[[#This Row],[REGIÃO02 - 3%]]*0.06)+Tabela14[[#This Row],[REGIÃO02 - 3%]]</f>
        <v>#N/A</v>
      </c>
      <c r="N418" s="34" t="e">
        <f>(Tabela14[[#This Row],[PRECO 3%]]*0.08)+Tabela14[[#This Row],[PRECO 3%]]</f>
        <v>#N/A</v>
      </c>
      <c r="O418" s="34" t="e">
        <f>(Tabela14[[#This Row],[REGIÃO03-3%]]*0.06)+Tabela14[[#This Row],[REGIÃO03-3%]]</f>
        <v>#N/A</v>
      </c>
      <c r="P418" s="34" t="e">
        <f>(Tabela14[[#This Row],[PRECO 3%]]*0.06)+Tabela14[[#This Row],[PRECO 3%]]</f>
        <v>#N/A</v>
      </c>
      <c r="Q418" s="34" t="e">
        <f>(Tabela14[[#This Row],[REGIÃO04-3%]]*0.06)+Tabela14[[#This Row],[REGIÃO04-3%]]</f>
        <v>#N/A</v>
      </c>
    </row>
    <row r="419" spans="1:17" x14ac:dyDescent="0.25">
      <c r="B419" t="s">
        <v>62</v>
      </c>
      <c r="C419" t="s">
        <v>56</v>
      </c>
      <c r="D419" t="s">
        <v>61</v>
      </c>
      <c r="E419" s="1" t="s">
        <v>322</v>
      </c>
      <c r="F419" t="e">
        <f>VLOOKUP(Tabela14[[#This Row],[ID_COD]],Tabela2[],6,0)</f>
        <v>#N/A</v>
      </c>
      <c r="H419" s="2" t="e">
        <v>#N/A</v>
      </c>
      <c r="I419" s="34" t="e">
        <f>Tabela14[[#This Row],[PRECO 3%]]+(Tabela14[[#This Row],[PRECO 3%]]*0.06)</f>
        <v>#N/A</v>
      </c>
      <c r="J419" s="34"/>
      <c r="K419" s="34">
        <f>(Tabela14[[#This Row],[REGIÃO01-3%]]*0.06)+Tabela14[[#This Row],[REGIÃO01-3%]]</f>
        <v>0</v>
      </c>
      <c r="L419" s="34" t="e">
        <f>(Tabela14[[#This Row],[PRECO 3%]]*0.05)+Tabela14[[#This Row],[PRECO 3%]]</f>
        <v>#N/A</v>
      </c>
      <c r="M419" s="34" t="e">
        <f>(Tabela14[[#This Row],[REGIÃO02 - 3%]]*0.06)+Tabela14[[#This Row],[REGIÃO02 - 3%]]</f>
        <v>#N/A</v>
      </c>
      <c r="N419" s="34" t="e">
        <f>(Tabela14[[#This Row],[PRECO 3%]]*0.08)+Tabela14[[#This Row],[PRECO 3%]]</f>
        <v>#N/A</v>
      </c>
      <c r="O419" s="34" t="e">
        <f>(Tabela14[[#This Row],[REGIÃO03-3%]]*0.06)+Tabela14[[#This Row],[REGIÃO03-3%]]</f>
        <v>#N/A</v>
      </c>
      <c r="P419" s="34" t="e">
        <f>(Tabela14[[#This Row],[PRECO 3%]]*0.06)+Tabela14[[#This Row],[PRECO 3%]]</f>
        <v>#N/A</v>
      </c>
      <c r="Q419" s="34" t="e">
        <f>(Tabela14[[#This Row],[REGIÃO04-3%]]*0.06)+Tabela14[[#This Row],[REGIÃO04-3%]]</f>
        <v>#N/A</v>
      </c>
    </row>
    <row r="420" spans="1:17" x14ac:dyDescent="0.25">
      <c r="A420" s="6">
        <v>2073</v>
      </c>
      <c r="B420" t="s">
        <v>10</v>
      </c>
      <c r="C420" s="6" t="s">
        <v>668</v>
      </c>
      <c r="D420" s="6" t="s">
        <v>4</v>
      </c>
      <c r="E420" s="6">
        <v>8</v>
      </c>
      <c r="F420">
        <v>150</v>
      </c>
      <c r="G420" t="s">
        <v>175</v>
      </c>
      <c r="H420" s="2"/>
      <c r="I420" s="34">
        <f>Tabela14[[#This Row],[PRECO 3%]]+(Tabela14[[#This Row],[PRECO 3%]]*0.06)</f>
        <v>0</v>
      </c>
      <c r="J420" s="34">
        <f>(Tabela14[[#This Row],[PRECO 3%]]*0.1)+Tabela14[[#This Row],[PRECO 3%]]</f>
        <v>0</v>
      </c>
      <c r="K420" s="34">
        <f>(Tabela14[[#This Row],[REGIÃO01-3%]]*0.06)+Tabela14[[#This Row],[REGIÃO01-3%]]</f>
        <v>0</v>
      </c>
      <c r="L420" s="34">
        <f>(Tabela14[[#This Row],[PRECO 3%]]*0.05)+Tabela14[[#This Row],[PRECO 3%]]</f>
        <v>0</v>
      </c>
      <c r="M420" s="34">
        <f>(Tabela14[[#This Row],[REGIÃO02 - 3%]]*0.06)+Tabela14[[#This Row],[REGIÃO02 - 3%]]</f>
        <v>0</v>
      </c>
      <c r="N420" s="34">
        <f>(Tabela14[[#This Row],[PRECO 3%]]*0.08)+Tabela14[[#This Row],[PRECO 3%]]</f>
        <v>0</v>
      </c>
      <c r="O420" s="34">
        <f>(Tabela14[[#This Row],[REGIÃO03-3%]]*0.06)+Tabela14[[#This Row],[REGIÃO03-3%]]</f>
        <v>0</v>
      </c>
      <c r="P420" s="34">
        <f>(Tabela14[[#This Row],[PRECO 3%]]*0.06)+Tabela14[[#This Row],[PRECO 3%]]</f>
        <v>0</v>
      </c>
      <c r="Q420" s="34">
        <f>(Tabela14[[#This Row],[REGIÃO04-3%]]*0.06)+Tabela14[[#This Row],[REGIÃO04-3%]]</f>
        <v>0</v>
      </c>
    </row>
    <row r="421" spans="1:17" x14ac:dyDescent="0.25">
      <c r="A421" s="6">
        <v>2148</v>
      </c>
      <c r="B421" s="6" t="s">
        <v>669</v>
      </c>
      <c r="C421" s="6" t="s">
        <v>670</v>
      </c>
      <c r="D421" s="6" t="s">
        <v>671</v>
      </c>
      <c r="F421">
        <v>8</v>
      </c>
      <c r="G421" t="s">
        <v>672</v>
      </c>
      <c r="H421" s="2"/>
      <c r="I421" s="34">
        <f>Tabela14[[#This Row],[PRECO 3%]]+(Tabela14[[#This Row],[PRECO 3%]]*0.06)</f>
        <v>0</v>
      </c>
      <c r="J421" s="34">
        <f>(Tabela14[[#This Row],[PRECO 3%]]*0.1)+Tabela14[[#This Row],[PRECO 3%]]</f>
        <v>0</v>
      </c>
      <c r="K421" s="34">
        <f>(Tabela14[[#This Row],[REGIÃO01-3%]]*0.06)+Tabela14[[#This Row],[REGIÃO01-3%]]</f>
        <v>0</v>
      </c>
      <c r="L421" s="34">
        <f>(Tabela14[[#This Row],[PRECO 3%]]*0.05)+Tabela14[[#This Row],[PRECO 3%]]</f>
        <v>0</v>
      </c>
      <c r="M421" s="34">
        <f>(Tabela14[[#This Row],[REGIÃO02 - 3%]]*0.06)+Tabela14[[#This Row],[REGIÃO02 - 3%]]</f>
        <v>0</v>
      </c>
      <c r="N421" s="34">
        <f>(Tabela14[[#This Row],[PRECO 3%]]*0.08)+Tabela14[[#This Row],[PRECO 3%]]</f>
        <v>0</v>
      </c>
      <c r="O421" s="34">
        <f>(Tabela14[[#This Row],[REGIÃO03-3%]]*0.06)+Tabela14[[#This Row],[REGIÃO03-3%]]</f>
        <v>0</v>
      </c>
      <c r="P421" s="34">
        <f>(Tabela14[[#This Row],[PRECO 3%]]*0.06)+Tabela14[[#This Row],[PRECO 3%]]</f>
        <v>0</v>
      </c>
      <c r="Q421" s="34">
        <f>(Tabela14[[#This Row],[REGIÃO04-3%]]*0.06)+Tabela14[[#This Row],[REGIÃO04-3%]]</f>
        <v>0</v>
      </c>
    </row>
    <row r="422" spans="1:17" x14ac:dyDescent="0.25">
      <c r="A422" s="6">
        <v>2127</v>
      </c>
      <c r="B422" s="6" t="s">
        <v>673</v>
      </c>
      <c r="C422" s="6" t="s">
        <v>15</v>
      </c>
      <c r="D422" s="6" t="s">
        <v>674</v>
      </c>
      <c r="E422" s="6">
        <v>105</v>
      </c>
      <c r="F422">
        <v>66</v>
      </c>
      <c r="G422" t="s">
        <v>675</v>
      </c>
      <c r="H422" s="2"/>
      <c r="I422" s="34">
        <f>Tabela14[[#This Row],[PRECO 3%]]+(Tabela14[[#This Row],[PRECO 3%]]*0.06)</f>
        <v>0</v>
      </c>
      <c r="J422" s="34">
        <f>(Tabela14[[#This Row],[PRECO 3%]]*0.1)+Tabela14[[#This Row],[PRECO 3%]]</f>
        <v>0</v>
      </c>
      <c r="K422" s="34">
        <f>(Tabela14[[#This Row],[REGIÃO01-3%]]*0.06)+Tabela14[[#This Row],[REGIÃO01-3%]]</f>
        <v>0</v>
      </c>
      <c r="L422" s="34">
        <f>(Tabela14[[#This Row],[PRECO 3%]]*0.05)+Tabela14[[#This Row],[PRECO 3%]]</f>
        <v>0</v>
      </c>
      <c r="M422" s="34">
        <f>(Tabela14[[#This Row],[REGIÃO02 - 3%]]*0.06)+Tabela14[[#This Row],[REGIÃO02 - 3%]]</f>
        <v>0</v>
      </c>
      <c r="N422" s="34">
        <f>(Tabela14[[#This Row],[PRECO 3%]]*0.08)+Tabela14[[#This Row],[PRECO 3%]]</f>
        <v>0</v>
      </c>
      <c r="O422" s="34">
        <f>(Tabela14[[#This Row],[REGIÃO03-3%]]*0.06)+Tabela14[[#This Row],[REGIÃO03-3%]]</f>
        <v>0</v>
      </c>
      <c r="P422" s="34">
        <f>(Tabela14[[#This Row],[PRECO 3%]]*0.06)+Tabela14[[#This Row],[PRECO 3%]]</f>
        <v>0</v>
      </c>
      <c r="Q422" s="34">
        <f>(Tabela14[[#This Row],[REGIÃO04-3%]]*0.06)+Tabela14[[#This Row],[REGIÃO04-3%]]</f>
        <v>0</v>
      </c>
    </row>
    <row r="423" spans="1:17" x14ac:dyDescent="0.25">
      <c r="A423" s="6">
        <v>2185</v>
      </c>
      <c r="B423" s="6" t="s">
        <v>676</v>
      </c>
      <c r="C423" s="6" t="s">
        <v>17</v>
      </c>
      <c r="D423" s="6" t="s">
        <v>4</v>
      </c>
      <c r="E423" s="6">
        <v>240</v>
      </c>
      <c r="F423">
        <v>40</v>
      </c>
      <c r="G423" t="s">
        <v>677</v>
      </c>
      <c r="H423" s="2"/>
      <c r="I423" s="34">
        <f>Tabela14[[#This Row],[PRECO 3%]]+(Tabela14[[#This Row],[PRECO 3%]]*0.06)</f>
        <v>0</v>
      </c>
      <c r="J423" s="34">
        <f>(Tabela14[[#This Row],[PRECO 3%]]*0.1)+Tabela14[[#This Row],[PRECO 3%]]</f>
        <v>0</v>
      </c>
      <c r="K423" s="34">
        <f>(Tabela14[[#This Row],[REGIÃO01-3%]]*0.06)+Tabela14[[#This Row],[REGIÃO01-3%]]</f>
        <v>0</v>
      </c>
      <c r="L423" s="34">
        <f>(Tabela14[[#This Row],[PRECO 3%]]*0.05)+Tabela14[[#This Row],[PRECO 3%]]</f>
        <v>0</v>
      </c>
      <c r="M423" s="34">
        <f>(Tabela14[[#This Row],[REGIÃO02 - 3%]]*0.06)+Tabela14[[#This Row],[REGIÃO02 - 3%]]</f>
        <v>0</v>
      </c>
      <c r="N423" s="34">
        <f>(Tabela14[[#This Row],[PRECO 3%]]*0.08)+Tabela14[[#This Row],[PRECO 3%]]</f>
        <v>0</v>
      </c>
      <c r="O423" s="34">
        <f>(Tabela14[[#This Row],[REGIÃO03-3%]]*0.06)+Tabela14[[#This Row],[REGIÃO03-3%]]</f>
        <v>0</v>
      </c>
      <c r="P423" s="34">
        <f>(Tabela14[[#This Row],[PRECO 3%]]*0.06)+Tabela14[[#This Row],[PRECO 3%]]</f>
        <v>0</v>
      </c>
      <c r="Q423" s="34">
        <f>(Tabela14[[#This Row],[REGIÃO04-3%]]*0.06)+Tabela14[[#This Row],[REGIÃO04-3%]]</f>
        <v>0</v>
      </c>
    </row>
    <row r="424" spans="1:17" x14ac:dyDescent="0.25">
      <c r="A424" s="6">
        <v>1957</v>
      </c>
      <c r="B424" s="6" t="s">
        <v>678</v>
      </c>
      <c r="C424" s="6" t="s">
        <v>679</v>
      </c>
      <c r="D424" s="6" t="s">
        <v>9</v>
      </c>
      <c r="E424" s="6">
        <v>400</v>
      </c>
      <c r="F424">
        <v>20</v>
      </c>
      <c r="G424" t="s">
        <v>680</v>
      </c>
      <c r="H424" s="2"/>
      <c r="I424" s="34">
        <f>Tabela14[[#This Row],[PRECO 3%]]+(Tabela14[[#This Row],[PRECO 3%]]*0.06)</f>
        <v>0</v>
      </c>
      <c r="J424" s="34">
        <f>(Tabela14[[#This Row],[PRECO 3%]]*0.1)+Tabela14[[#This Row],[PRECO 3%]]</f>
        <v>0</v>
      </c>
      <c r="K424" s="34">
        <f>(Tabela14[[#This Row],[REGIÃO01-3%]]*0.06)+Tabela14[[#This Row],[REGIÃO01-3%]]</f>
        <v>0</v>
      </c>
      <c r="L424" s="34">
        <f>(Tabela14[[#This Row],[PRECO 3%]]*0.05)+Tabela14[[#This Row],[PRECO 3%]]</f>
        <v>0</v>
      </c>
      <c r="M424" s="34">
        <f>(Tabela14[[#This Row],[REGIÃO02 - 3%]]*0.06)+Tabela14[[#This Row],[REGIÃO02 - 3%]]</f>
        <v>0</v>
      </c>
      <c r="N424" s="34">
        <f>(Tabela14[[#This Row],[PRECO 3%]]*0.08)+Tabela14[[#This Row],[PRECO 3%]]</f>
        <v>0</v>
      </c>
      <c r="O424" s="34">
        <f>(Tabela14[[#This Row],[REGIÃO03-3%]]*0.06)+Tabela14[[#This Row],[REGIÃO03-3%]]</f>
        <v>0</v>
      </c>
      <c r="P424" s="34">
        <f>(Tabela14[[#This Row],[PRECO 3%]]*0.06)+Tabela14[[#This Row],[PRECO 3%]]</f>
        <v>0</v>
      </c>
      <c r="Q424" s="34">
        <f>(Tabela14[[#This Row],[REGIÃO04-3%]]*0.06)+Tabela14[[#This Row],[REGIÃO04-3%]]</f>
        <v>0</v>
      </c>
    </row>
    <row r="425" spans="1:17" x14ac:dyDescent="0.25">
      <c r="A425" s="6">
        <v>2129</v>
      </c>
      <c r="B425" s="6" t="s">
        <v>681</v>
      </c>
      <c r="C425" s="6" t="s">
        <v>15</v>
      </c>
      <c r="D425" s="6" t="s">
        <v>682</v>
      </c>
      <c r="E425" s="6">
        <v>150</v>
      </c>
      <c r="F425">
        <v>30</v>
      </c>
      <c r="G425" t="s">
        <v>683</v>
      </c>
      <c r="H425" s="2"/>
      <c r="I425" s="34">
        <f>Tabela14[[#This Row],[PRECO 3%]]+(Tabela14[[#This Row],[PRECO 3%]]*0.06)</f>
        <v>0</v>
      </c>
      <c r="J425" s="34">
        <f>(Tabela14[[#This Row],[PRECO 3%]]*0.1)+Tabela14[[#This Row],[PRECO 3%]]</f>
        <v>0</v>
      </c>
      <c r="K425" s="34">
        <f>(Tabela14[[#This Row],[REGIÃO01-3%]]*0.06)+Tabela14[[#This Row],[REGIÃO01-3%]]</f>
        <v>0</v>
      </c>
      <c r="L425" s="34">
        <f>(Tabela14[[#This Row],[PRECO 3%]]*0.05)+Tabela14[[#This Row],[PRECO 3%]]</f>
        <v>0</v>
      </c>
      <c r="M425" s="34">
        <f>(Tabela14[[#This Row],[REGIÃO02 - 3%]]*0.06)+Tabela14[[#This Row],[REGIÃO02 - 3%]]</f>
        <v>0</v>
      </c>
      <c r="N425" s="34">
        <f>(Tabela14[[#This Row],[PRECO 3%]]*0.08)+Tabela14[[#This Row],[PRECO 3%]]</f>
        <v>0</v>
      </c>
      <c r="O425" s="34">
        <f>(Tabela14[[#This Row],[REGIÃO03-3%]]*0.06)+Tabela14[[#This Row],[REGIÃO03-3%]]</f>
        <v>0</v>
      </c>
      <c r="P425" s="34">
        <f>(Tabela14[[#This Row],[PRECO 3%]]*0.06)+Tabela14[[#This Row],[PRECO 3%]]</f>
        <v>0</v>
      </c>
      <c r="Q425" s="34">
        <f>(Tabela14[[#This Row],[REGIÃO04-3%]]*0.06)+Tabela14[[#This Row],[REGIÃO04-3%]]</f>
        <v>0</v>
      </c>
    </row>
    <row r="426" spans="1:17" x14ac:dyDescent="0.25">
      <c r="A426" s="6">
        <v>2128</v>
      </c>
      <c r="B426" s="6" t="s">
        <v>684</v>
      </c>
      <c r="C426" s="6" t="s">
        <v>20</v>
      </c>
      <c r="D426" s="6" t="s">
        <v>682</v>
      </c>
      <c r="E426" s="6">
        <v>135</v>
      </c>
      <c r="F426">
        <v>60</v>
      </c>
      <c r="G426" t="s">
        <v>685</v>
      </c>
      <c r="H426" s="2"/>
      <c r="I426" s="34">
        <f>Tabela14[[#This Row],[PRECO 3%]]+(Tabela14[[#This Row],[PRECO 3%]]*0.06)</f>
        <v>0</v>
      </c>
      <c r="J426" s="34">
        <f>(Tabela14[[#This Row],[PRECO 3%]]*0.1)+Tabela14[[#This Row],[PRECO 3%]]</f>
        <v>0</v>
      </c>
      <c r="K426" s="34">
        <f>(Tabela14[[#This Row],[REGIÃO01-3%]]*0.06)+Tabela14[[#This Row],[REGIÃO01-3%]]</f>
        <v>0</v>
      </c>
      <c r="L426" s="34">
        <f>(Tabela14[[#This Row],[PRECO 3%]]*0.05)+Tabela14[[#This Row],[PRECO 3%]]</f>
        <v>0</v>
      </c>
      <c r="M426" s="34">
        <f>(Tabela14[[#This Row],[REGIÃO02 - 3%]]*0.06)+Tabela14[[#This Row],[REGIÃO02 - 3%]]</f>
        <v>0</v>
      </c>
      <c r="N426" s="34">
        <f>(Tabela14[[#This Row],[PRECO 3%]]*0.08)+Tabela14[[#This Row],[PRECO 3%]]</f>
        <v>0</v>
      </c>
      <c r="O426" s="34">
        <f>(Tabela14[[#This Row],[REGIÃO03-3%]]*0.06)+Tabela14[[#This Row],[REGIÃO03-3%]]</f>
        <v>0</v>
      </c>
      <c r="P426" s="34">
        <f>(Tabela14[[#This Row],[PRECO 3%]]*0.06)+Tabela14[[#This Row],[PRECO 3%]]</f>
        <v>0</v>
      </c>
      <c r="Q426" s="34">
        <f>(Tabela14[[#This Row],[REGIÃO04-3%]]*0.06)+Tabela14[[#This Row],[REGIÃO04-3%]]</f>
        <v>0</v>
      </c>
    </row>
    <row r="427" spans="1:17" x14ac:dyDescent="0.25">
      <c r="A427" s="6">
        <v>2063</v>
      </c>
      <c r="B427" s="6" t="s">
        <v>686</v>
      </c>
      <c r="C427" s="6" t="s">
        <v>20</v>
      </c>
      <c r="D427" s="6" t="s">
        <v>411</v>
      </c>
      <c r="E427" s="6">
        <v>450</v>
      </c>
      <c r="F427">
        <v>20</v>
      </c>
      <c r="G427" t="s">
        <v>687</v>
      </c>
      <c r="H427" s="2"/>
      <c r="I427" s="34">
        <f>Tabela14[[#This Row],[PRECO 3%]]+(Tabela14[[#This Row],[PRECO 3%]]*0.06)</f>
        <v>0</v>
      </c>
      <c r="J427" s="34">
        <f>(Tabela14[[#This Row],[PRECO 3%]]*0.1)+Tabela14[[#This Row],[PRECO 3%]]</f>
        <v>0</v>
      </c>
      <c r="K427" s="34">
        <f>(Tabela14[[#This Row],[REGIÃO01-3%]]*0.06)+Tabela14[[#This Row],[REGIÃO01-3%]]</f>
        <v>0</v>
      </c>
      <c r="L427" s="34">
        <f>(Tabela14[[#This Row],[PRECO 3%]]*0.05)+Tabela14[[#This Row],[PRECO 3%]]</f>
        <v>0</v>
      </c>
      <c r="M427" s="34">
        <f>(Tabela14[[#This Row],[REGIÃO02 - 3%]]*0.06)+Tabela14[[#This Row],[REGIÃO02 - 3%]]</f>
        <v>0</v>
      </c>
      <c r="N427" s="34">
        <f>(Tabela14[[#This Row],[PRECO 3%]]*0.08)+Tabela14[[#This Row],[PRECO 3%]]</f>
        <v>0</v>
      </c>
      <c r="O427" s="34">
        <f>(Tabela14[[#This Row],[REGIÃO03-3%]]*0.06)+Tabela14[[#This Row],[REGIÃO03-3%]]</f>
        <v>0</v>
      </c>
      <c r="P427" s="34">
        <f>(Tabela14[[#This Row],[PRECO 3%]]*0.06)+Tabela14[[#This Row],[PRECO 3%]]</f>
        <v>0</v>
      </c>
      <c r="Q427" s="34">
        <f>(Tabela14[[#This Row],[REGIÃO04-3%]]*0.06)+Tabela14[[#This Row],[REGIÃO04-3%]]</f>
        <v>0</v>
      </c>
    </row>
    <row r="428" spans="1:17" x14ac:dyDescent="0.25">
      <c r="A428" s="6">
        <v>2145</v>
      </c>
      <c r="B428" s="6" t="s">
        <v>688</v>
      </c>
      <c r="C428" s="6" t="s">
        <v>24</v>
      </c>
      <c r="D428" s="6" t="s">
        <v>682</v>
      </c>
      <c r="E428" s="6">
        <v>250</v>
      </c>
      <c r="G428" t="s">
        <v>689</v>
      </c>
      <c r="H428" s="2"/>
      <c r="I428" s="34">
        <f>Tabela14[[#This Row],[PRECO 3%]]+(Tabela14[[#This Row],[PRECO 3%]]*0.06)</f>
        <v>0</v>
      </c>
      <c r="J428" s="34">
        <f>(Tabela14[[#This Row],[PRECO 3%]]*0.1)+Tabela14[[#This Row],[PRECO 3%]]</f>
        <v>0</v>
      </c>
      <c r="K428" s="34">
        <f>(Tabela14[[#This Row],[REGIÃO01-3%]]*0.06)+Tabela14[[#This Row],[REGIÃO01-3%]]</f>
        <v>0</v>
      </c>
      <c r="L428" s="34">
        <f>(Tabela14[[#This Row],[PRECO 3%]]*0.05)+Tabela14[[#This Row],[PRECO 3%]]</f>
        <v>0</v>
      </c>
      <c r="M428" s="34">
        <f>(Tabela14[[#This Row],[REGIÃO02 - 3%]]*0.06)+Tabela14[[#This Row],[REGIÃO02 - 3%]]</f>
        <v>0</v>
      </c>
      <c r="N428" s="34">
        <f>(Tabela14[[#This Row],[PRECO 3%]]*0.08)+Tabela14[[#This Row],[PRECO 3%]]</f>
        <v>0</v>
      </c>
      <c r="O428" s="34">
        <f>(Tabela14[[#This Row],[REGIÃO03-3%]]*0.06)+Tabela14[[#This Row],[REGIÃO03-3%]]</f>
        <v>0</v>
      </c>
      <c r="P428" s="34">
        <f>(Tabela14[[#This Row],[PRECO 3%]]*0.06)+Tabela14[[#This Row],[PRECO 3%]]</f>
        <v>0</v>
      </c>
      <c r="Q428" s="34">
        <f>(Tabela14[[#This Row],[REGIÃO04-3%]]*0.06)+Tabela14[[#This Row],[REGIÃO04-3%]]</f>
        <v>0</v>
      </c>
    </row>
    <row r="429" spans="1:17" x14ac:dyDescent="0.25">
      <c r="A429" s="6">
        <v>2147</v>
      </c>
      <c r="B429" s="6" t="s">
        <v>688</v>
      </c>
      <c r="C429" s="6" t="s">
        <v>24</v>
      </c>
      <c r="D429" s="6" t="s">
        <v>682</v>
      </c>
      <c r="E429" s="6">
        <v>200</v>
      </c>
      <c r="G429" t="s">
        <v>689</v>
      </c>
      <c r="H429" s="2"/>
      <c r="I429" s="34">
        <f>Tabela14[[#This Row],[PRECO 3%]]+(Tabela14[[#This Row],[PRECO 3%]]*0.06)</f>
        <v>0</v>
      </c>
      <c r="J429" s="34">
        <f>(Tabela14[[#This Row],[PRECO 3%]]*0.1)+Tabela14[[#This Row],[PRECO 3%]]</f>
        <v>0</v>
      </c>
      <c r="K429" s="34">
        <f>(Tabela14[[#This Row],[REGIÃO01-3%]]*0.06)+Tabela14[[#This Row],[REGIÃO01-3%]]</f>
        <v>0</v>
      </c>
      <c r="L429" s="34">
        <f>(Tabela14[[#This Row],[PRECO 3%]]*0.05)+Tabela14[[#This Row],[PRECO 3%]]</f>
        <v>0</v>
      </c>
      <c r="M429" s="34">
        <f>(Tabela14[[#This Row],[REGIÃO02 - 3%]]*0.06)+Tabela14[[#This Row],[REGIÃO02 - 3%]]</f>
        <v>0</v>
      </c>
      <c r="N429" s="34">
        <f>(Tabela14[[#This Row],[PRECO 3%]]*0.08)+Tabela14[[#This Row],[PRECO 3%]]</f>
        <v>0</v>
      </c>
      <c r="O429" s="34">
        <f>(Tabela14[[#This Row],[REGIÃO03-3%]]*0.06)+Tabela14[[#This Row],[REGIÃO03-3%]]</f>
        <v>0</v>
      </c>
      <c r="P429" s="34">
        <f>(Tabela14[[#This Row],[PRECO 3%]]*0.06)+Tabela14[[#This Row],[PRECO 3%]]</f>
        <v>0</v>
      </c>
      <c r="Q429" s="34">
        <f>(Tabela14[[#This Row],[REGIÃO04-3%]]*0.06)+Tabela14[[#This Row],[REGIÃO04-3%]]</f>
        <v>0</v>
      </c>
    </row>
    <row r="430" spans="1:17" x14ac:dyDescent="0.25">
      <c r="A430" s="6">
        <v>2115</v>
      </c>
      <c r="B430" s="6" t="s">
        <v>690</v>
      </c>
      <c r="C430" s="6" t="s">
        <v>26</v>
      </c>
      <c r="D430" s="6" t="s">
        <v>682</v>
      </c>
      <c r="E430" s="6">
        <v>270</v>
      </c>
      <c r="G430" t="s">
        <v>691</v>
      </c>
      <c r="H430" s="2"/>
      <c r="I430" s="34">
        <f>Tabela14[[#This Row],[PRECO 3%]]+(Tabela14[[#This Row],[PRECO 3%]]*0.06)</f>
        <v>0</v>
      </c>
      <c r="J430" s="34">
        <f>(Tabela14[[#This Row],[PRECO 3%]]*0.1)+Tabela14[[#This Row],[PRECO 3%]]</f>
        <v>0</v>
      </c>
      <c r="K430" s="34">
        <f>(Tabela14[[#This Row],[REGIÃO01-3%]]*0.06)+Tabela14[[#This Row],[REGIÃO01-3%]]</f>
        <v>0</v>
      </c>
      <c r="L430" s="34">
        <f>(Tabela14[[#This Row],[PRECO 3%]]*0.05)+Tabela14[[#This Row],[PRECO 3%]]</f>
        <v>0</v>
      </c>
      <c r="M430" s="34">
        <f>(Tabela14[[#This Row],[REGIÃO02 - 3%]]*0.06)+Tabela14[[#This Row],[REGIÃO02 - 3%]]</f>
        <v>0</v>
      </c>
      <c r="N430" s="34">
        <f>(Tabela14[[#This Row],[PRECO 3%]]*0.08)+Tabela14[[#This Row],[PRECO 3%]]</f>
        <v>0</v>
      </c>
      <c r="O430" s="34">
        <f>(Tabela14[[#This Row],[REGIÃO03-3%]]*0.06)+Tabela14[[#This Row],[REGIÃO03-3%]]</f>
        <v>0</v>
      </c>
      <c r="P430" s="34">
        <f>(Tabela14[[#This Row],[PRECO 3%]]*0.06)+Tabela14[[#This Row],[PRECO 3%]]</f>
        <v>0</v>
      </c>
      <c r="Q430" s="34">
        <f>(Tabela14[[#This Row],[REGIÃO04-3%]]*0.06)+Tabela14[[#This Row],[REGIÃO04-3%]]</f>
        <v>0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14AB-9A55-4EC9-AE95-8A590DAFD95F}">
  <dimension ref="A1:Q88"/>
  <sheetViews>
    <sheetView zoomScaleNormal="100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H27" sqref="H27"/>
    </sheetView>
  </sheetViews>
  <sheetFormatPr defaultColWidth="28.7109375" defaultRowHeight="15" x14ac:dyDescent="0.25"/>
  <cols>
    <col min="1" max="1" width="6.7109375" bestFit="1" customWidth="1"/>
    <col min="2" max="2" width="41.85546875" bestFit="1" customWidth="1"/>
    <col min="3" max="3" width="23.140625" bestFit="1" customWidth="1"/>
    <col min="4" max="4" width="7.42578125" bestFit="1" customWidth="1"/>
    <col min="5" max="5" width="13.28515625" bestFit="1" customWidth="1"/>
    <col min="6" max="6" width="10.7109375" bestFit="1" customWidth="1"/>
    <col min="7" max="7" width="9.85546875" bestFit="1" customWidth="1"/>
    <col min="8" max="8" width="11.28515625" style="36" bestFit="1" customWidth="1"/>
    <col min="9" max="9" width="11.28515625" bestFit="1" customWidth="1"/>
    <col min="10" max="17" width="14.28515625" bestFit="1" customWidth="1"/>
  </cols>
  <sheetData>
    <row r="1" spans="1:17" x14ac:dyDescent="0.25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1</v>
      </c>
      <c r="G1" t="s">
        <v>438</v>
      </c>
      <c r="H1" s="36" t="s">
        <v>650</v>
      </c>
      <c r="I1" t="s">
        <v>651</v>
      </c>
      <c r="J1" t="s">
        <v>652</v>
      </c>
      <c r="K1" t="s">
        <v>653</v>
      </c>
      <c r="L1" t="s">
        <v>654</v>
      </c>
      <c r="M1" t="s">
        <v>655</v>
      </c>
      <c r="N1" t="s">
        <v>656</v>
      </c>
      <c r="O1" t="s">
        <v>657</v>
      </c>
      <c r="P1" t="s">
        <v>658</v>
      </c>
      <c r="Q1" t="s">
        <v>659</v>
      </c>
    </row>
    <row r="2" spans="1:17" x14ac:dyDescent="0.25">
      <c r="A2">
        <v>1</v>
      </c>
      <c r="B2" t="s">
        <v>361</v>
      </c>
      <c r="C2" t="s">
        <v>344</v>
      </c>
      <c r="D2" t="s">
        <v>345</v>
      </c>
      <c r="E2">
        <v>1000</v>
      </c>
      <c r="F2" t="s">
        <v>4</v>
      </c>
      <c r="H2" s="41">
        <v>0.41039999999999999</v>
      </c>
      <c r="I2" s="35">
        <f>Tabela1[[#This Row],[Preco 3%]]+(Tabela1[[#This Row],[Preco 3%]]*0.06)</f>
        <v>0.43502399999999997</v>
      </c>
      <c r="J2" s="37">
        <f>Tabela1[[#This Row],[Preco 3%]]+(Tabela1[[#This Row],[Preco 3%]]*0.1)</f>
        <v>0.45144000000000001</v>
      </c>
      <c r="K2" s="37">
        <f>Tabela1[[#This Row],[Região01 3%]]+(Tabela1[[#This Row],[Região01 3%]]*0.06)</f>
        <v>0.47852640000000002</v>
      </c>
      <c r="L2" s="39">
        <f>Tabela1[[#This Row],[Preco 3%]]+(Tabela1[[#This Row],[Preco 3%]]*0.05)</f>
        <v>0.43091999999999997</v>
      </c>
      <c r="M2" s="39">
        <f>Tabela1[[#This Row],[Região02 3%]]+(Tabela1[[#This Row],[Região02 3%]]*0.06)</f>
        <v>0.45677519999999999</v>
      </c>
      <c r="N2" s="38">
        <f>Tabela1[[#This Row],[Preco 3%]]+(Tabela1[[#This Row],[Preco 3%]]*0.08)</f>
        <v>0.44323199999999996</v>
      </c>
      <c r="O2" s="38">
        <f>Tabela1[[#This Row],[Região03 3%]]+(Tabela1[[#This Row],[Região03 3%]]*0.06)</f>
        <v>0.46982591999999995</v>
      </c>
      <c r="P2" s="40">
        <f>Tabela1[[#This Row],[Preco 3%]]+(Tabela1[[#This Row],[Preco 3%]]*0.06)</f>
        <v>0.43502399999999997</v>
      </c>
      <c r="Q2" s="40">
        <f>Tabela1[[#This Row],[Região04 3%]]+(Tabela1[[#This Row],[Região04 3%]]*0.06)</f>
        <v>0.46112543999999994</v>
      </c>
    </row>
    <row r="3" spans="1:17" x14ac:dyDescent="0.25">
      <c r="A3">
        <v>2</v>
      </c>
      <c r="B3" t="s">
        <v>362</v>
      </c>
      <c r="C3" t="s">
        <v>344</v>
      </c>
      <c r="D3" t="s">
        <v>347</v>
      </c>
      <c r="E3">
        <v>1000</v>
      </c>
      <c r="F3" t="s">
        <v>4</v>
      </c>
      <c r="H3" s="41">
        <v>0.43200000000000005</v>
      </c>
      <c r="I3" s="35">
        <f>Tabela1[[#This Row],[Preco 3%]]+(Tabela1[[#This Row],[Preco 3%]]*0.06)</f>
        <v>0.45792000000000005</v>
      </c>
      <c r="J3" s="37">
        <f>Tabela1[[#This Row],[Preco 3%]]+(Tabela1[[#This Row],[Preco 3%]]*0.1)</f>
        <v>0.47520000000000007</v>
      </c>
      <c r="K3" s="37">
        <f>Tabela1[[#This Row],[Região01 3%]]+(Tabela1[[#This Row],[Região01 3%]]*0.06)</f>
        <v>0.50371200000000005</v>
      </c>
      <c r="L3" s="39">
        <f>Tabela1[[#This Row],[Preco 3%]]+(Tabela1[[#This Row],[Preco 3%]]*0.05)</f>
        <v>0.45360000000000006</v>
      </c>
      <c r="M3" s="39">
        <f>Tabela1[[#This Row],[Região02 3%]]+(Tabela1[[#This Row],[Região02 3%]]*0.06)</f>
        <v>0.48081600000000008</v>
      </c>
      <c r="N3" s="38">
        <f>Tabela1[[#This Row],[Preco 3%]]+(Tabela1[[#This Row],[Preco 3%]]*0.08)</f>
        <v>0.46656000000000009</v>
      </c>
      <c r="O3" s="38">
        <f>Tabela1[[#This Row],[Região03 3%]]+(Tabela1[[#This Row],[Região03 3%]]*0.06)</f>
        <v>0.49455360000000009</v>
      </c>
      <c r="P3" s="40">
        <f>Tabela1[[#This Row],[Preco 3%]]+(Tabela1[[#This Row],[Preco 3%]]*0.06)</f>
        <v>0.45792000000000005</v>
      </c>
      <c r="Q3" s="40">
        <f>Tabela1[[#This Row],[Região04 3%]]+(Tabela1[[#This Row],[Região04 3%]]*0.06)</f>
        <v>0.48539520000000003</v>
      </c>
    </row>
    <row r="4" spans="1:17" x14ac:dyDescent="0.25">
      <c r="A4">
        <v>3</v>
      </c>
      <c r="B4" t="s">
        <v>363</v>
      </c>
      <c r="C4" t="s">
        <v>344</v>
      </c>
      <c r="D4" t="s">
        <v>349</v>
      </c>
      <c r="E4">
        <v>1000</v>
      </c>
      <c r="F4" t="s">
        <v>4</v>
      </c>
      <c r="H4" s="41">
        <v>0.4536</v>
      </c>
      <c r="I4" s="35">
        <f>Tabela1[[#This Row],[Preco 3%]]+(Tabela1[[#This Row],[Preco 3%]]*0.06)</f>
        <v>0.48081600000000002</v>
      </c>
      <c r="J4" s="37">
        <f>Tabela1[[#This Row],[Preco 3%]]+(Tabela1[[#This Row],[Preco 3%]]*0.1)</f>
        <v>0.49896000000000001</v>
      </c>
      <c r="K4" s="37">
        <f>Tabela1[[#This Row],[Região01 3%]]+(Tabela1[[#This Row],[Região01 3%]]*0.06)</f>
        <v>0.52889759999999997</v>
      </c>
      <c r="L4" s="39">
        <f>Tabela1[[#This Row],[Preco 3%]]+(Tabela1[[#This Row],[Preco 3%]]*0.05)</f>
        <v>0.47627999999999998</v>
      </c>
      <c r="M4" s="39">
        <f>Tabela1[[#This Row],[Região02 3%]]+(Tabela1[[#This Row],[Região02 3%]]*0.06)</f>
        <v>0.50485679999999999</v>
      </c>
      <c r="N4" s="38">
        <f>Tabela1[[#This Row],[Preco 3%]]+(Tabela1[[#This Row],[Preco 3%]]*0.08)</f>
        <v>0.48988799999999999</v>
      </c>
      <c r="O4" s="38">
        <f>Tabela1[[#This Row],[Região03 3%]]+(Tabela1[[#This Row],[Região03 3%]]*0.06)</f>
        <v>0.51928127999999996</v>
      </c>
      <c r="P4" s="40">
        <f>Tabela1[[#This Row],[Preco 3%]]+(Tabela1[[#This Row],[Preco 3%]]*0.06)</f>
        <v>0.48081600000000002</v>
      </c>
      <c r="Q4" s="40">
        <f>Tabela1[[#This Row],[Região04 3%]]+(Tabela1[[#This Row],[Região04 3%]]*0.06)</f>
        <v>0.50966496000000006</v>
      </c>
    </row>
    <row r="5" spans="1:17" x14ac:dyDescent="0.25">
      <c r="A5">
        <v>8</v>
      </c>
      <c r="B5" t="s">
        <v>343</v>
      </c>
      <c r="C5" t="s">
        <v>344</v>
      </c>
      <c r="D5" t="s">
        <v>345</v>
      </c>
      <c r="E5">
        <v>72</v>
      </c>
      <c r="F5" t="s">
        <v>4</v>
      </c>
      <c r="G5" t="s">
        <v>346</v>
      </c>
      <c r="H5" s="41">
        <v>6.99</v>
      </c>
      <c r="I5" s="35">
        <f>Tabela1[[#This Row],[Preco 3%]]+(Tabela1[[#This Row],[Preco 3%]]*0.06)</f>
        <v>7.4093999999999998</v>
      </c>
      <c r="J5" s="37">
        <f>Tabela1[[#This Row],[Preco 3%]]+(Tabela1[[#This Row],[Preco 3%]]*0.1)</f>
        <v>7.6890000000000001</v>
      </c>
      <c r="K5" s="37">
        <f>Tabela1[[#This Row],[Região01 3%]]+(Tabela1[[#This Row],[Região01 3%]]*0.06)</f>
        <v>8.1503399999999999</v>
      </c>
      <c r="L5" s="39">
        <f>Tabela1[[#This Row],[Preco 3%]]+(Tabela1[[#This Row],[Preco 3%]]*0.05)</f>
        <v>7.3395000000000001</v>
      </c>
      <c r="M5" s="39">
        <f>Tabela1[[#This Row],[Região02 3%]]+(Tabela1[[#This Row],[Região02 3%]]*0.06)</f>
        <v>7.7798699999999998</v>
      </c>
      <c r="N5" s="38">
        <f>Tabela1[[#This Row],[Preco 3%]]+(Tabela1[[#This Row],[Preco 3%]]*0.08)</f>
        <v>7.5491999999999999</v>
      </c>
      <c r="O5" s="38">
        <f>Tabela1[[#This Row],[Região03 3%]]+(Tabela1[[#This Row],[Região03 3%]]*0.06)</f>
        <v>8.0021520000000006</v>
      </c>
      <c r="P5" s="40">
        <f>Tabela1[[#This Row],[Preco 3%]]+(Tabela1[[#This Row],[Preco 3%]]*0.06)</f>
        <v>7.4093999999999998</v>
      </c>
      <c r="Q5" s="40">
        <f>Tabela1[[#This Row],[Região04 3%]]+(Tabela1[[#This Row],[Região04 3%]]*0.06)</f>
        <v>7.8539639999999995</v>
      </c>
    </row>
    <row r="6" spans="1:17" x14ac:dyDescent="0.25">
      <c r="A6">
        <v>13</v>
      </c>
      <c r="B6" t="s">
        <v>343</v>
      </c>
      <c r="C6" t="s">
        <v>344</v>
      </c>
      <c r="D6" t="s">
        <v>345</v>
      </c>
      <c r="E6">
        <v>50</v>
      </c>
      <c r="F6" t="s">
        <v>4</v>
      </c>
      <c r="G6" t="s">
        <v>350</v>
      </c>
      <c r="H6" s="41">
        <v>10.88</v>
      </c>
      <c r="I6" s="35">
        <f>Tabela1[[#This Row],[Preco 3%]]+(Tabela1[[#This Row],[Preco 3%]]*0.06)</f>
        <v>11.532800000000002</v>
      </c>
      <c r="J6" s="37">
        <f>Tabela1[[#This Row],[Preco 3%]]+(Tabela1[[#This Row],[Preco 3%]]*0.1)</f>
        <v>11.968</v>
      </c>
      <c r="K6" s="37">
        <f>Tabela1[[#This Row],[Região01 3%]]+(Tabela1[[#This Row],[Região01 3%]]*0.06)</f>
        <v>12.68608</v>
      </c>
      <c r="L6" s="39">
        <f>Tabela1[[#This Row],[Preco 3%]]+(Tabela1[[#This Row],[Preco 3%]]*0.05)</f>
        <v>11.424000000000001</v>
      </c>
      <c r="M6" s="39">
        <f>Tabela1[[#This Row],[Região02 3%]]+(Tabela1[[#This Row],[Região02 3%]]*0.06)</f>
        <v>12.109440000000001</v>
      </c>
      <c r="N6" s="38">
        <f>Tabela1[[#This Row],[Preco 3%]]+(Tabela1[[#This Row],[Preco 3%]]*0.08)</f>
        <v>11.750400000000001</v>
      </c>
      <c r="O6" s="38">
        <f>Tabela1[[#This Row],[Região03 3%]]+(Tabela1[[#This Row],[Região03 3%]]*0.06)</f>
        <v>12.455424000000001</v>
      </c>
      <c r="P6" s="40">
        <f>Tabela1[[#This Row],[Preco 3%]]+(Tabela1[[#This Row],[Preco 3%]]*0.06)</f>
        <v>11.532800000000002</v>
      </c>
      <c r="Q6" s="40">
        <f>Tabela1[[#This Row],[Região04 3%]]+(Tabela1[[#This Row],[Região04 3%]]*0.06)</f>
        <v>12.224768000000001</v>
      </c>
    </row>
    <row r="7" spans="1:17" x14ac:dyDescent="0.25">
      <c r="A7">
        <v>51</v>
      </c>
      <c r="B7" t="s">
        <v>343</v>
      </c>
      <c r="C7" t="s">
        <v>401</v>
      </c>
      <c r="D7" t="s">
        <v>345</v>
      </c>
      <c r="E7">
        <v>40</v>
      </c>
      <c r="F7" t="s">
        <v>402</v>
      </c>
      <c r="G7" t="s">
        <v>403</v>
      </c>
      <c r="H7" s="41">
        <v>14.46</v>
      </c>
      <c r="I7" s="35">
        <f>Tabela1[[#This Row],[Preco 3%]]+(Tabela1[[#This Row],[Preco 3%]]*0.06)</f>
        <v>15.3276</v>
      </c>
      <c r="J7" s="37">
        <f>Tabela1[[#This Row],[Preco 3%]]+(Tabela1[[#This Row],[Preco 3%]]*0.1)</f>
        <v>15.906000000000001</v>
      </c>
      <c r="K7" s="37">
        <f>Tabela1[[#This Row],[Região01 3%]]+(Tabela1[[#This Row],[Região01 3%]]*0.06)</f>
        <v>16.86036</v>
      </c>
      <c r="L7" s="39">
        <f>Tabela1[[#This Row],[Preco 3%]]+(Tabela1[[#This Row],[Preco 3%]]*0.05)</f>
        <v>15.183000000000002</v>
      </c>
      <c r="M7" s="39">
        <f>Tabela1[[#This Row],[Região02 3%]]+(Tabela1[[#This Row],[Região02 3%]]*0.06)</f>
        <v>16.093980000000002</v>
      </c>
      <c r="N7" s="38">
        <f>Tabela1[[#This Row],[Preco 3%]]+(Tabela1[[#This Row],[Preco 3%]]*0.08)</f>
        <v>15.616800000000001</v>
      </c>
      <c r="O7" s="38">
        <f>Tabela1[[#This Row],[Região03 3%]]+(Tabela1[[#This Row],[Região03 3%]]*0.06)</f>
        <v>16.553808</v>
      </c>
      <c r="P7" s="40">
        <f>Tabela1[[#This Row],[Preco 3%]]+(Tabela1[[#This Row],[Preco 3%]]*0.06)</f>
        <v>15.3276</v>
      </c>
      <c r="Q7" s="40">
        <f>Tabela1[[#This Row],[Região04 3%]]+(Tabela1[[#This Row],[Região04 3%]]*0.06)</f>
        <v>16.247256</v>
      </c>
    </row>
    <row r="8" spans="1:17" x14ac:dyDescent="0.25">
      <c r="A8">
        <v>85</v>
      </c>
      <c r="B8" t="s">
        <v>353</v>
      </c>
      <c r="C8" t="s">
        <v>354</v>
      </c>
      <c r="D8" t="s">
        <v>345</v>
      </c>
      <c r="E8">
        <v>36</v>
      </c>
      <c r="F8" t="s">
        <v>4</v>
      </c>
      <c r="G8" t="s">
        <v>355</v>
      </c>
      <c r="H8" s="41">
        <v>15.44</v>
      </c>
      <c r="I8" s="35">
        <f>Tabela1[[#This Row],[Preco 3%]]+(Tabela1[[#This Row],[Preco 3%]]*0.06)</f>
        <v>16.366399999999999</v>
      </c>
      <c r="J8" s="37">
        <f>Tabela1[[#This Row],[Preco 3%]]+(Tabela1[[#This Row],[Preco 3%]]*0.1)</f>
        <v>16.983999999999998</v>
      </c>
      <c r="K8" s="37">
        <f>Tabela1[[#This Row],[Região01 3%]]+(Tabela1[[#This Row],[Região01 3%]]*0.06)</f>
        <v>18.003039999999999</v>
      </c>
      <c r="L8" s="39">
        <f>Tabela1[[#This Row],[Preco 3%]]+(Tabela1[[#This Row],[Preco 3%]]*0.05)</f>
        <v>16.212</v>
      </c>
      <c r="M8" s="39">
        <f>Tabela1[[#This Row],[Região02 3%]]+(Tabela1[[#This Row],[Região02 3%]]*0.06)</f>
        <v>17.184719999999999</v>
      </c>
      <c r="N8" s="38">
        <f>Tabela1[[#This Row],[Preco 3%]]+(Tabela1[[#This Row],[Preco 3%]]*0.08)</f>
        <v>16.6752</v>
      </c>
      <c r="O8" s="38">
        <f>Tabela1[[#This Row],[Região03 3%]]+(Tabela1[[#This Row],[Região03 3%]]*0.06)</f>
        <v>17.675712000000001</v>
      </c>
      <c r="P8" s="40">
        <f>Tabela1[[#This Row],[Preco 3%]]+(Tabela1[[#This Row],[Preco 3%]]*0.06)</f>
        <v>16.366399999999999</v>
      </c>
      <c r="Q8" s="40">
        <f>Tabela1[[#This Row],[Região04 3%]]+(Tabela1[[#This Row],[Região04 3%]]*0.06)</f>
        <v>17.348383999999999</v>
      </c>
    </row>
    <row r="9" spans="1:17" x14ac:dyDescent="0.25">
      <c r="A9">
        <v>94</v>
      </c>
      <c r="B9" t="s">
        <v>353</v>
      </c>
      <c r="C9" t="s">
        <v>354</v>
      </c>
      <c r="D9" t="s">
        <v>345</v>
      </c>
      <c r="E9">
        <v>30</v>
      </c>
      <c r="F9" t="s">
        <v>4</v>
      </c>
      <c r="G9" t="s">
        <v>358</v>
      </c>
      <c r="H9" s="41">
        <v>22.8</v>
      </c>
      <c r="I9" s="35">
        <f>Tabela1[[#This Row],[Preco 3%]]+(Tabela1[[#This Row],[Preco 3%]]*0.06)</f>
        <v>24.167999999999999</v>
      </c>
      <c r="J9" s="37">
        <f>Tabela1[[#This Row],[Preco 3%]]+(Tabela1[[#This Row],[Preco 3%]]*0.1)</f>
        <v>25.080000000000002</v>
      </c>
      <c r="K9" s="37">
        <f>Tabela1[[#This Row],[Região01 3%]]+(Tabela1[[#This Row],[Região01 3%]]*0.06)</f>
        <v>26.584800000000001</v>
      </c>
      <c r="L9" s="39">
        <f>Tabela1[[#This Row],[Preco 3%]]+(Tabela1[[#This Row],[Preco 3%]]*0.05)</f>
        <v>23.94</v>
      </c>
      <c r="M9" s="39">
        <f>Tabela1[[#This Row],[Região02 3%]]+(Tabela1[[#This Row],[Região02 3%]]*0.06)</f>
        <v>25.3764</v>
      </c>
      <c r="N9" s="38">
        <f>Tabela1[[#This Row],[Preco 3%]]+(Tabela1[[#This Row],[Preco 3%]]*0.08)</f>
        <v>24.624000000000002</v>
      </c>
      <c r="O9" s="38">
        <f>Tabela1[[#This Row],[Região03 3%]]+(Tabela1[[#This Row],[Região03 3%]]*0.06)</f>
        <v>26.101440000000004</v>
      </c>
      <c r="P9" s="40">
        <f>Tabela1[[#This Row],[Preco 3%]]+(Tabela1[[#This Row],[Preco 3%]]*0.06)</f>
        <v>24.167999999999999</v>
      </c>
      <c r="Q9" s="40">
        <f>Tabela1[[#This Row],[Região04 3%]]+(Tabela1[[#This Row],[Região04 3%]]*0.06)</f>
        <v>25.618079999999999</v>
      </c>
    </row>
    <row r="10" spans="1:17" x14ac:dyDescent="0.25">
      <c r="A10">
        <v>132</v>
      </c>
      <c r="B10" t="s">
        <v>353</v>
      </c>
      <c r="C10" t="s">
        <v>354</v>
      </c>
      <c r="D10" t="s">
        <v>345</v>
      </c>
      <c r="E10">
        <v>20</v>
      </c>
      <c r="F10" t="s">
        <v>402</v>
      </c>
      <c r="G10" t="s">
        <v>404</v>
      </c>
      <c r="H10" s="41">
        <v>29.67</v>
      </c>
      <c r="I10" s="35">
        <f>Tabela1[[#This Row],[Preco 3%]]+(Tabela1[[#This Row],[Preco 3%]]*0.06)</f>
        <v>31.450200000000002</v>
      </c>
      <c r="J10" s="37">
        <f>Tabela1[[#This Row],[Preco 3%]]+(Tabela1[[#This Row],[Preco 3%]]*0.1)</f>
        <v>32.637</v>
      </c>
      <c r="K10" s="37">
        <f>Tabela1[[#This Row],[Região01 3%]]+(Tabela1[[#This Row],[Região01 3%]]*0.06)</f>
        <v>34.595219999999998</v>
      </c>
      <c r="L10" s="39">
        <f>Tabela1[[#This Row],[Preco 3%]]+(Tabela1[[#This Row],[Preco 3%]]*0.05)</f>
        <v>31.153500000000001</v>
      </c>
      <c r="M10" s="39">
        <f>Tabela1[[#This Row],[Região02 3%]]+(Tabela1[[#This Row],[Região02 3%]]*0.06)</f>
        <v>33.022710000000004</v>
      </c>
      <c r="N10" s="38">
        <f>Tabela1[[#This Row],[Preco 3%]]+(Tabela1[[#This Row],[Preco 3%]]*0.08)</f>
        <v>32.043600000000005</v>
      </c>
      <c r="O10" s="38">
        <f>Tabela1[[#This Row],[Região03 3%]]+(Tabela1[[#This Row],[Região03 3%]]*0.06)</f>
        <v>33.966216000000003</v>
      </c>
      <c r="P10" s="40">
        <f>Tabela1[[#This Row],[Preco 3%]]+(Tabela1[[#This Row],[Preco 3%]]*0.06)</f>
        <v>31.450200000000002</v>
      </c>
      <c r="Q10" s="40">
        <f>Tabela1[[#This Row],[Região04 3%]]+(Tabela1[[#This Row],[Região04 3%]]*0.06)</f>
        <v>33.337212000000001</v>
      </c>
    </row>
    <row r="11" spans="1:17" x14ac:dyDescent="0.25">
      <c r="A11">
        <v>152</v>
      </c>
      <c r="B11" t="s">
        <v>361</v>
      </c>
      <c r="C11" t="s">
        <v>401</v>
      </c>
      <c r="D11" t="s">
        <v>345</v>
      </c>
      <c r="E11">
        <v>1000</v>
      </c>
      <c r="F11" t="s">
        <v>402</v>
      </c>
      <c r="H11" s="41">
        <v>0.47520000000000001</v>
      </c>
      <c r="I11" s="35">
        <f>Tabela1[[#This Row],[Preco 3%]]+(Tabela1[[#This Row],[Preco 3%]]*0.06)</f>
        <v>0.50371200000000005</v>
      </c>
      <c r="J11" s="37">
        <f>Tabela1[[#This Row],[Preco 3%]]+(Tabela1[[#This Row],[Preco 3%]]*0.1)</f>
        <v>0.52272000000000007</v>
      </c>
      <c r="K11" s="37">
        <f>Tabela1[[#This Row],[Região01 3%]]+(Tabela1[[#This Row],[Região01 3%]]*0.06)</f>
        <v>0.55408320000000011</v>
      </c>
      <c r="L11" s="39">
        <f>Tabela1[[#This Row],[Preco 3%]]+(Tabela1[[#This Row],[Preco 3%]]*0.05)</f>
        <v>0.49896000000000001</v>
      </c>
      <c r="M11" s="39">
        <f>Tabela1[[#This Row],[Região02 3%]]+(Tabela1[[#This Row],[Região02 3%]]*0.06)</f>
        <v>0.52889759999999997</v>
      </c>
      <c r="N11" s="38">
        <f>Tabela1[[#This Row],[Preco 3%]]+(Tabela1[[#This Row],[Preco 3%]]*0.08)</f>
        <v>0.51321600000000001</v>
      </c>
      <c r="O11" s="38">
        <f>Tabela1[[#This Row],[Região03 3%]]+(Tabela1[[#This Row],[Região03 3%]]*0.06)</f>
        <v>0.54400895999999999</v>
      </c>
      <c r="P11" s="40">
        <f>Tabela1[[#This Row],[Preco 3%]]+(Tabela1[[#This Row],[Preco 3%]]*0.06)</f>
        <v>0.50371200000000005</v>
      </c>
      <c r="Q11" s="40">
        <f>Tabela1[[#This Row],[Região04 3%]]+(Tabela1[[#This Row],[Região04 3%]]*0.06)</f>
        <v>0.53393472000000008</v>
      </c>
    </row>
    <row r="12" spans="1:17" x14ac:dyDescent="0.25">
      <c r="A12">
        <v>153</v>
      </c>
      <c r="B12" t="s">
        <v>362</v>
      </c>
      <c r="C12" t="s">
        <v>401</v>
      </c>
      <c r="D12" t="s">
        <v>347</v>
      </c>
      <c r="E12">
        <v>1000</v>
      </c>
      <c r="F12" t="s">
        <v>402</v>
      </c>
      <c r="H12" s="41">
        <v>0.50759999999999994</v>
      </c>
      <c r="I12" s="35">
        <f>Tabela1[[#This Row],[Preco 3%]]+(Tabela1[[#This Row],[Preco 3%]]*0.06)</f>
        <v>0.53805599999999998</v>
      </c>
      <c r="J12" s="37">
        <f>Tabela1[[#This Row],[Preco 3%]]+(Tabela1[[#This Row],[Preco 3%]]*0.1)</f>
        <v>0.55835999999999997</v>
      </c>
      <c r="K12" s="37">
        <f>Tabela1[[#This Row],[Região01 3%]]+(Tabela1[[#This Row],[Região01 3%]]*0.06)</f>
        <v>0.59186159999999999</v>
      </c>
      <c r="L12" s="39">
        <f>Tabela1[[#This Row],[Preco 3%]]+(Tabela1[[#This Row],[Preco 3%]]*0.05)</f>
        <v>0.5329799999999999</v>
      </c>
      <c r="M12" s="39">
        <f>Tabela1[[#This Row],[Região02 3%]]+(Tabela1[[#This Row],[Região02 3%]]*0.06)</f>
        <v>0.56495879999999987</v>
      </c>
      <c r="N12" s="38">
        <f>Tabela1[[#This Row],[Preco 3%]]+(Tabela1[[#This Row],[Preco 3%]]*0.08)</f>
        <v>0.54820799999999992</v>
      </c>
      <c r="O12" s="38">
        <f>Tabela1[[#This Row],[Região03 3%]]+(Tabela1[[#This Row],[Região03 3%]]*0.06)</f>
        <v>0.58110047999999992</v>
      </c>
      <c r="P12" s="40">
        <f>Tabela1[[#This Row],[Preco 3%]]+(Tabela1[[#This Row],[Preco 3%]]*0.06)</f>
        <v>0.53805599999999998</v>
      </c>
      <c r="Q12" s="40">
        <f>Tabela1[[#This Row],[Região04 3%]]+(Tabela1[[#This Row],[Região04 3%]]*0.06)</f>
        <v>0.57033935999999996</v>
      </c>
    </row>
    <row r="13" spans="1:17" x14ac:dyDescent="0.25">
      <c r="A13">
        <v>154</v>
      </c>
      <c r="B13" t="s">
        <v>363</v>
      </c>
      <c r="C13" t="s">
        <v>401</v>
      </c>
      <c r="D13" t="s">
        <v>349</v>
      </c>
      <c r="E13">
        <v>1000</v>
      </c>
      <c r="F13" t="s">
        <v>402</v>
      </c>
      <c r="H13" s="41">
        <v>0.5292</v>
      </c>
      <c r="I13" s="35">
        <f>Tabela1[[#This Row],[Preco 3%]]+(Tabela1[[#This Row],[Preco 3%]]*0.06)</f>
        <v>0.56095200000000001</v>
      </c>
      <c r="J13" s="37">
        <f>Tabela1[[#This Row],[Preco 3%]]+(Tabela1[[#This Row],[Preco 3%]]*0.1)</f>
        <v>0.58211999999999997</v>
      </c>
      <c r="K13" s="37">
        <f>Tabela1[[#This Row],[Região01 3%]]+(Tabela1[[#This Row],[Região01 3%]]*0.06)</f>
        <v>0.61704720000000002</v>
      </c>
      <c r="L13" s="39">
        <f>Tabela1[[#This Row],[Preco 3%]]+(Tabela1[[#This Row],[Preco 3%]]*0.05)</f>
        <v>0.55566000000000004</v>
      </c>
      <c r="M13" s="39">
        <f>Tabela1[[#This Row],[Região02 3%]]+(Tabela1[[#This Row],[Região02 3%]]*0.06)</f>
        <v>0.58899960000000007</v>
      </c>
      <c r="N13" s="38">
        <f>Tabela1[[#This Row],[Preco 3%]]+(Tabela1[[#This Row],[Preco 3%]]*0.08)</f>
        <v>0.57153600000000004</v>
      </c>
      <c r="O13" s="38">
        <f>Tabela1[[#This Row],[Região03 3%]]+(Tabela1[[#This Row],[Região03 3%]]*0.06)</f>
        <v>0.60582816000000006</v>
      </c>
      <c r="P13" s="40">
        <f>Tabela1[[#This Row],[Preco 3%]]+(Tabela1[[#This Row],[Preco 3%]]*0.06)</f>
        <v>0.56095200000000001</v>
      </c>
      <c r="Q13" s="40">
        <f>Tabela1[[#This Row],[Região04 3%]]+(Tabela1[[#This Row],[Região04 3%]]*0.06)</f>
        <v>0.59460911999999999</v>
      </c>
    </row>
    <row r="14" spans="1:17" x14ac:dyDescent="0.25">
      <c r="A14">
        <v>155</v>
      </c>
      <c r="B14" t="s">
        <v>407</v>
      </c>
      <c r="C14" t="s">
        <v>365</v>
      </c>
      <c r="E14">
        <v>12</v>
      </c>
      <c r="F14" t="s">
        <v>402</v>
      </c>
      <c r="G14" t="s">
        <v>408</v>
      </c>
      <c r="H14" s="41">
        <v>71</v>
      </c>
      <c r="I14" s="35">
        <f>Tabela1[[#This Row],[Preco 3%]]+(Tabela1[[#This Row],[Preco 3%]]*0.06)</f>
        <v>75.260000000000005</v>
      </c>
      <c r="J14" s="37">
        <f>Tabela1[[#This Row],[Preco 3%]]+(Tabela1[[#This Row],[Preco 3%]]*0.1)</f>
        <v>78.099999999999994</v>
      </c>
      <c r="K14" s="37">
        <f>Tabela1[[#This Row],[Região01 3%]]+(Tabela1[[#This Row],[Região01 3%]]*0.06)</f>
        <v>82.785999999999987</v>
      </c>
      <c r="L14" s="39">
        <f>Tabela1[[#This Row],[Preco 3%]]+(Tabela1[[#This Row],[Preco 3%]]*0.05)</f>
        <v>74.55</v>
      </c>
      <c r="M14" s="39">
        <f>Tabela1[[#This Row],[Região02 3%]]+(Tabela1[[#This Row],[Região02 3%]]*0.06)</f>
        <v>79.022999999999996</v>
      </c>
      <c r="N14" s="38">
        <f>Tabela1[[#This Row],[Preco 3%]]+(Tabela1[[#This Row],[Preco 3%]]*0.08)</f>
        <v>76.680000000000007</v>
      </c>
      <c r="O14" s="38">
        <f>Tabela1[[#This Row],[Região03 3%]]+(Tabela1[[#This Row],[Região03 3%]]*0.06)</f>
        <v>81.280800000000013</v>
      </c>
      <c r="P14" s="40">
        <f>Tabela1[[#This Row],[Preco 3%]]+(Tabela1[[#This Row],[Preco 3%]]*0.06)</f>
        <v>75.260000000000005</v>
      </c>
      <c r="Q14" s="40">
        <f>Tabela1[[#This Row],[Região04 3%]]+(Tabela1[[#This Row],[Região04 3%]]*0.06)</f>
        <v>79.775600000000011</v>
      </c>
    </row>
    <row r="15" spans="1:17" x14ac:dyDescent="0.25">
      <c r="A15">
        <v>158</v>
      </c>
      <c r="B15" t="s">
        <v>367</v>
      </c>
      <c r="C15" t="s">
        <v>368</v>
      </c>
      <c r="E15">
        <v>150</v>
      </c>
      <c r="F15" t="s">
        <v>402</v>
      </c>
      <c r="G15" t="s">
        <v>409</v>
      </c>
      <c r="H15" s="41">
        <v>7.1894</v>
      </c>
      <c r="I15" s="35">
        <f>Tabela1[[#This Row],[Preco 3%]]+(Tabela1[[#This Row],[Preco 3%]]*0.06)</f>
        <v>7.6207640000000003</v>
      </c>
      <c r="J15" s="37">
        <f>Tabela1[[#This Row],[Preco 3%]]+(Tabela1[[#This Row],[Preco 3%]]*0.1)</f>
        <v>7.9083399999999999</v>
      </c>
      <c r="K15" s="37">
        <f>Tabela1[[#This Row],[Região01 3%]]+(Tabela1[[#This Row],[Região01 3%]]*0.06)</f>
        <v>8.3828403999999992</v>
      </c>
      <c r="L15" s="39">
        <f>Tabela1[[#This Row],[Preco 3%]]+(Tabela1[[#This Row],[Preco 3%]]*0.05)</f>
        <v>7.54887</v>
      </c>
      <c r="M15" s="39">
        <f>Tabela1[[#This Row],[Região02 3%]]+(Tabela1[[#This Row],[Região02 3%]]*0.06)</f>
        <v>8.0018022000000002</v>
      </c>
      <c r="N15" s="38">
        <f>Tabela1[[#This Row],[Preco 3%]]+(Tabela1[[#This Row],[Preco 3%]]*0.08)</f>
        <v>7.7645520000000001</v>
      </c>
      <c r="O15" s="38">
        <f>Tabela1[[#This Row],[Região03 3%]]+(Tabela1[[#This Row],[Região03 3%]]*0.06)</f>
        <v>8.2304251199999996</v>
      </c>
      <c r="P15" s="40">
        <f>Tabela1[[#This Row],[Preco 3%]]+(Tabela1[[#This Row],[Preco 3%]]*0.06)</f>
        <v>7.6207640000000003</v>
      </c>
      <c r="Q15" s="40">
        <f>Tabela1[[#This Row],[Região04 3%]]+(Tabela1[[#This Row],[Região04 3%]]*0.06)</f>
        <v>8.07800984</v>
      </c>
    </row>
    <row r="16" spans="1:17" x14ac:dyDescent="0.25">
      <c r="A16">
        <v>263</v>
      </c>
      <c r="B16" t="s">
        <v>353</v>
      </c>
      <c r="C16" t="s">
        <v>354</v>
      </c>
      <c r="D16" t="s">
        <v>347</v>
      </c>
      <c r="E16">
        <v>30</v>
      </c>
      <c r="F16" t="s">
        <v>4</v>
      </c>
      <c r="G16" t="s">
        <v>356</v>
      </c>
      <c r="H16" s="41">
        <v>18.86</v>
      </c>
      <c r="I16" s="35">
        <f>Tabela1[[#This Row],[Preco 3%]]+(Tabela1[[#This Row],[Preco 3%]]*0.06)</f>
        <v>19.991599999999998</v>
      </c>
      <c r="J16" s="37">
        <f>Tabela1[[#This Row],[Preco 3%]]+(Tabela1[[#This Row],[Preco 3%]]*0.1)</f>
        <v>20.745999999999999</v>
      </c>
      <c r="K16" s="37">
        <f>Tabela1[[#This Row],[Região01 3%]]+(Tabela1[[#This Row],[Região01 3%]]*0.06)</f>
        <v>21.990759999999998</v>
      </c>
      <c r="L16" s="39">
        <f>Tabela1[[#This Row],[Preco 3%]]+(Tabela1[[#This Row],[Preco 3%]]*0.05)</f>
        <v>19.803000000000001</v>
      </c>
      <c r="M16" s="39">
        <f>Tabela1[[#This Row],[Região02 3%]]+(Tabela1[[#This Row],[Região02 3%]]*0.06)</f>
        <v>20.99118</v>
      </c>
      <c r="N16" s="38">
        <f>Tabela1[[#This Row],[Preco 3%]]+(Tabela1[[#This Row],[Preco 3%]]*0.08)</f>
        <v>20.3688</v>
      </c>
      <c r="O16" s="38">
        <f>Tabela1[[#This Row],[Região03 3%]]+(Tabela1[[#This Row],[Região03 3%]]*0.06)</f>
        <v>21.590928000000002</v>
      </c>
      <c r="P16" s="40">
        <f>Tabela1[[#This Row],[Preco 3%]]+(Tabela1[[#This Row],[Preco 3%]]*0.06)</f>
        <v>19.991599999999998</v>
      </c>
      <c r="Q16" s="40">
        <f>Tabela1[[#This Row],[Região04 3%]]+(Tabela1[[#This Row],[Região04 3%]]*0.06)</f>
        <v>21.191095999999998</v>
      </c>
    </row>
    <row r="17" spans="1:17" x14ac:dyDescent="0.25">
      <c r="A17">
        <v>271</v>
      </c>
      <c r="B17" t="s">
        <v>353</v>
      </c>
      <c r="C17" t="s">
        <v>354</v>
      </c>
      <c r="D17" t="s">
        <v>347</v>
      </c>
      <c r="E17">
        <v>25</v>
      </c>
      <c r="F17" t="s">
        <v>4</v>
      </c>
      <c r="G17" t="s">
        <v>359</v>
      </c>
      <c r="H17" s="41">
        <v>24.86</v>
      </c>
      <c r="I17" s="35">
        <f>Tabela1[[#This Row],[Preco 3%]]+(Tabela1[[#This Row],[Preco 3%]]*0.06)</f>
        <v>26.351599999999998</v>
      </c>
      <c r="J17" s="37">
        <f>Tabela1[[#This Row],[Preco 3%]]+(Tabela1[[#This Row],[Preco 3%]]*0.1)</f>
        <v>27.346</v>
      </c>
      <c r="K17" s="37">
        <f>Tabela1[[#This Row],[Região01 3%]]+(Tabela1[[#This Row],[Região01 3%]]*0.06)</f>
        <v>28.98676</v>
      </c>
      <c r="L17" s="39">
        <f>Tabela1[[#This Row],[Preco 3%]]+(Tabela1[[#This Row],[Preco 3%]]*0.05)</f>
        <v>26.102999999999998</v>
      </c>
      <c r="M17" s="39">
        <f>Tabela1[[#This Row],[Região02 3%]]+(Tabela1[[#This Row],[Região02 3%]]*0.06)</f>
        <v>27.669179999999997</v>
      </c>
      <c r="N17" s="38">
        <f>Tabela1[[#This Row],[Preco 3%]]+(Tabela1[[#This Row],[Preco 3%]]*0.08)</f>
        <v>26.848800000000001</v>
      </c>
      <c r="O17" s="38">
        <f>Tabela1[[#This Row],[Região03 3%]]+(Tabela1[[#This Row],[Região03 3%]]*0.06)</f>
        <v>28.459728000000002</v>
      </c>
      <c r="P17" s="40">
        <f>Tabela1[[#This Row],[Preco 3%]]+(Tabela1[[#This Row],[Preco 3%]]*0.06)</f>
        <v>26.351599999999998</v>
      </c>
      <c r="Q17" s="40">
        <f>Tabela1[[#This Row],[Região04 3%]]+(Tabela1[[#This Row],[Região04 3%]]*0.06)</f>
        <v>27.932695999999996</v>
      </c>
    </row>
    <row r="18" spans="1:17" x14ac:dyDescent="0.25">
      <c r="A18">
        <v>279</v>
      </c>
      <c r="B18" t="s">
        <v>353</v>
      </c>
      <c r="C18" t="s">
        <v>354</v>
      </c>
      <c r="D18" t="s">
        <v>349</v>
      </c>
      <c r="E18">
        <v>30</v>
      </c>
      <c r="F18" t="s">
        <v>4</v>
      </c>
      <c r="G18" t="s">
        <v>357</v>
      </c>
      <c r="H18" s="41">
        <v>19.88</v>
      </c>
      <c r="I18" s="35">
        <f>Tabela1[[#This Row],[Preco 3%]]+(Tabela1[[#This Row],[Preco 3%]]*0.06)</f>
        <v>21.072799999999997</v>
      </c>
      <c r="J18" s="37">
        <f>Tabela1[[#This Row],[Preco 3%]]+(Tabela1[[#This Row],[Preco 3%]]*0.1)</f>
        <v>21.867999999999999</v>
      </c>
      <c r="K18" s="37">
        <f>Tabela1[[#This Row],[Região01 3%]]+(Tabela1[[#This Row],[Região01 3%]]*0.06)</f>
        <v>23.180079999999997</v>
      </c>
      <c r="L18" s="39">
        <f>Tabela1[[#This Row],[Preco 3%]]+(Tabela1[[#This Row],[Preco 3%]]*0.05)</f>
        <v>20.873999999999999</v>
      </c>
      <c r="M18" s="39">
        <f>Tabela1[[#This Row],[Região02 3%]]+(Tabela1[[#This Row],[Região02 3%]]*0.06)</f>
        <v>22.126439999999999</v>
      </c>
      <c r="N18" s="38">
        <f>Tabela1[[#This Row],[Preco 3%]]+(Tabela1[[#This Row],[Preco 3%]]*0.08)</f>
        <v>21.470399999999998</v>
      </c>
      <c r="O18" s="38">
        <f>Tabela1[[#This Row],[Região03 3%]]+(Tabela1[[#This Row],[Região03 3%]]*0.06)</f>
        <v>22.758623999999998</v>
      </c>
      <c r="P18" s="40">
        <f>Tabela1[[#This Row],[Preco 3%]]+(Tabela1[[#This Row],[Preco 3%]]*0.06)</f>
        <v>21.072799999999997</v>
      </c>
      <c r="Q18" s="40">
        <f>Tabela1[[#This Row],[Região04 3%]]+(Tabela1[[#This Row],[Região04 3%]]*0.06)</f>
        <v>22.337167999999998</v>
      </c>
    </row>
    <row r="19" spans="1:17" x14ac:dyDescent="0.25">
      <c r="A19">
        <v>286</v>
      </c>
      <c r="B19" t="s">
        <v>353</v>
      </c>
      <c r="C19" t="s">
        <v>354</v>
      </c>
      <c r="D19" t="s">
        <v>349</v>
      </c>
      <c r="E19">
        <v>25</v>
      </c>
      <c r="F19" t="s">
        <v>4</v>
      </c>
      <c r="G19" t="s">
        <v>360</v>
      </c>
      <c r="H19" s="41">
        <v>26.86</v>
      </c>
      <c r="I19" s="35">
        <f>Tabela1[[#This Row],[Preco 3%]]+(Tabela1[[#This Row],[Preco 3%]]*0.06)</f>
        <v>28.471599999999999</v>
      </c>
      <c r="J19" s="37">
        <f>Tabela1[[#This Row],[Preco 3%]]+(Tabela1[[#This Row],[Preco 3%]]*0.1)</f>
        <v>29.545999999999999</v>
      </c>
      <c r="K19" s="37">
        <f>Tabela1[[#This Row],[Região01 3%]]+(Tabela1[[#This Row],[Região01 3%]]*0.06)</f>
        <v>31.318759999999997</v>
      </c>
      <c r="L19" s="39">
        <f>Tabela1[[#This Row],[Preco 3%]]+(Tabela1[[#This Row],[Preco 3%]]*0.05)</f>
        <v>28.202999999999999</v>
      </c>
      <c r="M19" s="39">
        <f>Tabela1[[#This Row],[Região02 3%]]+(Tabela1[[#This Row],[Região02 3%]]*0.06)</f>
        <v>29.89518</v>
      </c>
      <c r="N19" s="38">
        <f>Tabela1[[#This Row],[Preco 3%]]+(Tabela1[[#This Row],[Preco 3%]]*0.08)</f>
        <v>29.008800000000001</v>
      </c>
      <c r="O19" s="38">
        <f>Tabela1[[#This Row],[Região03 3%]]+(Tabela1[[#This Row],[Região03 3%]]*0.06)</f>
        <v>30.749328000000002</v>
      </c>
      <c r="P19" s="40">
        <f>Tabela1[[#This Row],[Preco 3%]]+(Tabela1[[#This Row],[Preco 3%]]*0.06)</f>
        <v>28.471599999999999</v>
      </c>
      <c r="Q19" s="40">
        <f>Tabela1[[#This Row],[Região04 3%]]+(Tabela1[[#This Row],[Região04 3%]]*0.06)</f>
        <v>30.179895999999999</v>
      </c>
    </row>
    <row r="20" spans="1:17" x14ac:dyDescent="0.25">
      <c r="A20">
        <v>294</v>
      </c>
      <c r="B20" t="s">
        <v>353</v>
      </c>
      <c r="C20" t="s">
        <v>354</v>
      </c>
      <c r="D20" t="s">
        <v>347</v>
      </c>
      <c r="E20">
        <v>20</v>
      </c>
      <c r="F20" t="s">
        <v>402</v>
      </c>
      <c r="G20" t="s">
        <v>405</v>
      </c>
      <c r="H20" s="41">
        <v>30.58</v>
      </c>
      <c r="I20" s="35">
        <f>Tabela1[[#This Row],[Preco 3%]]+(Tabela1[[#This Row],[Preco 3%]]*0.06)</f>
        <v>32.4148</v>
      </c>
      <c r="J20" s="37">
        <f>Tabela1[[#This Row],[Preco 3%]]+(Tabela1[[#This Row],[Preco 3%]]*0.1)</f>
        <v>33.637999999999998</v>
      </c>
      <c r="K20" s="37">
        <f>Tabela1[[#This Row],[Região01 3%]]+(Tabela1[[#This Row],[Região01 3%]]*0.06)</f>
        <v>35.656279999999995</v>
      </c>
      <c r="L20" s="39">
        <f>Tabela1[[#This Row],[Preco 3%]]+(Tabela1[[#This Row],[Preco 3%]]*0.05)</f>
        <v>32.108999999999995</v>
      </c>
      <c r="M20" s="39">
        <f>Tabela1[[#This Row],[Região02 3%]]+(Tabela1[[#This Row],[Região02 3%]]*0.06)</f>
        <v>34.035539999999997</v>
      </c>
      <c r="N20" s="38">
        <f>Tabela1[[#This Row],[Preco 3%]]+(Tabela1[[#This Row],[Preco 3%]]*0.08)</f>
        <v>33.026399999999995</v>
      </c>
      <c r="O20" s="38">
        <f>Tabela1[[#This Row],[Região03 3%]]+(Tabela1[[#This Row],[Região03 3%]]*0.06)</f>
        <v>35.007983999999993</v>
      </c>
      <c r="P20" s="40">
        <f>Tabela1[[#This Row],[Preco 3%]]+(Tabela1[[#This Row],[Preco 3%]]*0.06)</f>
        <v>32.4148</v>
      </c>
      <c r="Q20" s="40">
        <f>Tabela1[[#This Row],[Região04 3%]]+(Tabela1[[#This Row],[Região04 3%]]*0.06)</f>
        <v>34.359687999999998</v>
      </c>
    </row>
    <row r="21" spans="1:17" x14ac:dyDescent="0.25">
      <c r="A21">
        <v>300</v>
      </c>
      <c r="B21" t="s">
        <v>353</v>
      </c>
      <c r="C21" t="s">
        <v>354</v>
      </c>
      <c r="D21" t="s">
        <v>349</v>
      </c>
      <c r="E21">
        <v>20</v>
      </c>
      <c r="F21" t="s">
        <v>402</v>
      </c>
      <c r="G21" t="s">
        <v>406</v>
      </c>
      <c r="H21" s="41">
        <v>32.94</v>
      </c>
      <c r="I21" s="35">
        <f>Tabela1[[#This Row],[Preco 3%]]+(Tabela1[[#This Row],[Preco 3%]]*0.06)</f>
        <v>34.916399999999996</v>
      </c>
      <c r="J21" s="37">
        <f>Tabela1[[#This Row],[Preco 3%]]+(Tabela1[[#This Row],[Preco 3%]]*0.1)</f>
        <v>36.233999999999995</v>
      </c>
      <c r="K21" s="37">
        <f>Tabela1[[#This Row],[Região01 3%]]+(Tabela1[[#This Row],[Região01 3%]]*0.06)</f>
        <v>38.408039999999993</v>
      </c>
      <c r="L21" s="39">
        <f>Tabela1[[#This Row],[Preco 3%]]+(Tabela1[[#This Row],[Preco 3%]]*0.05)</f>
        <v>34.586999999999996</v>
      </c>
      <c r="M21" s="39">
        <f>Tabela1[[#This Row],[Região02 3%]]+(Tabela1[[#This Row],[Região02 3%]]*0.06)</f>
        <v>36.662219999999998</v>
      </c>
      <c r="N21" s="38">
        <f>Tabela1[[#This Row],[Preco 3%]]+(Tabela1[[#This Row],[Preco 3%]]*0.08)</f>
        <v>35.575199999999995</v>
      </c>
      <c r="O21" s="38">
        <f>Tabela1[[#This Row],[Região03 3%]]+(Tabela1[[#This Row],[Região03 3%]]*0.06)</f>
        <v>37.709711999999996</v>
      </c>
      <c r="P21" s="40">
        <f>Tabela1[[#This Row],[Preco 3%]]+(Tabela1[[#This Row],[Preco 3%]]*0.06)</f>
        <v>34.916399999999996</v>
      </c>
      <c r="Q21" s="40">
        <f>Tabela1[[#This Row],[Região04 3%]]+(Tabela1[[#This Row],[Região04 3%]]*0.06)</f>
        <v>37.011383999999993</v>
      </c>
    </row>
    <row r="22" spans="1:17" x14ac:dyDescent="0.25">
      <c r="A22">
        <v>310</v>
      </c>
      <c r="B22" t="s">
        <v>343</v>
      </c>
      <c r="C22" t="s">
        <v>344</v>
      </c>
      <c r="D22" t="s">
        <v>347</v>
      </c>
      <c r="E22">
        <v>60</v>
      </c>
      <c r="F22" t="s">
        <v>4</v>
      </c>
      <c r="G22" t="s">
        <v>348</v>
      </c>
      <c r="H22" s="41">
        <v>9.74</v>
      </c>
      <c r="I22" s="35">
        <f>Tabela1[[#This Row],[Preco 3%]]+(Tabela1[[#This Row],[Preco 3%]]*0.06)</f>
        <v>10.324400000000001</v>
      </c>
      <c r="J22" s="37">
        <f>Tabela1[[#This Row],[Preco 3%]]+(Tabela1[[#This Row],[Preco 3%]]*0.1)</f>
        <v>10.714</v>
      </c>
      <c r="K22" s="37">
        <f>Tabela1[[#This Row],[Região01 3%]]+(Tabela1[[#This Row],[Região01 3%]]*0.06)</f>
        <v>11.35684</v>
      </c>
      <c r="L22" s="39">
        <f>Tabela1[[#This Row],[Preco 3%]]+(Tabela1[[#This Row],[Preco 3%]]*0.05)</f>
        <v>10.227</v>
      </c>
      <c r="M22" s="39">
        <f>Tabela1[[#This Row],[Região02 3%]]+(Tabela1[[#This Row],[Região02 3%]]*0.06)</f>
        <v>10.840619999999999</v>
      </c>
      <c r="N22" s="38">
        <f>Tabela1[[#This Row],[Preco 3%]]+(Tabela1[[#This Row],[Preco 3%]]*0.08)</f>
        <v>10.5192</v>
      </c>
      <c r="O22" s="38">
        <f>Tabela1[[#This Row],[Região03 3%]]+(Tabela1[[#This Row],[Região03 3%]]*0.06)</f>
        <v>11.150352</v>
      </c>
      <c r="P22" s="40">
        <f>Tabela1[[#This Row],[Preco 3%]]+(Tabela1[[#This Row],[Preco 3%]]*0.06)</f>
        <v>10.324400000000001</v>
      </c>
      <c r="Q22" s="40">
        <f>Tabela1[[#This Row],[Região04 3%]]+(Tabela1[[#This Row],[Região04 3%]]*0.06)</f>
        <v>10.943864000000001</v>
      </c>
    </row>
    <row r="23" spans="1:17" x14ac:dyDescent="0.25">
      <c r="A23">
        <v>313</v>
      </c>
      <c r="B23" t="s">
        <v>343</v>
      </c>
      <c r="C23" t="s">
        <v>344</v>
      </c>
      <c r="D23" t="s">
        <v>347</v>
      </c>
      <c r="E23">
        <v>50</v>
      </c>
      <c r="F23" t="s">
        <v>4</v>
      </c>
      <c r="G23" t="s">
        <v>351</v>
      </c>
      <c r="H23" s="41">
        <v>11.98</v>
      </c>
      <c r="I23" s="35">
        <f>Tabela1[[#This Row],[Preco 3%]]+(Tabela1[[#This Row],[Preco 3%]]*0.06)</f>
        <v>12.6988</v>
      </c>
      <c r="J23" s="37">
        <f>Tabela1[[#This Row],[Preco 3%]]+(Tabela1[[#This Row],[Preco 3%]]*0.1)</f>
        <v>13.178000000000001</v>
      </c>
      <c r="K23" s="37">
        <f>Tabela1[[#This Row],[Região01 3%]]+(Tabela1[[#This Row],[Região01 3%]]*0.06)</f>
        <v>13.968680000000001</v>
      </c>
      <c r="L23" s="39">
        <f>Tabela1[[#This Row],[Preco 3%]]+(Tabela1[[#This Row],[Preco 3%]]*0.05)</f>
        <v>12.579000000000001</v>
      </c>
      <c r="M23" s="39">
        <f>Tabela1[[#This Row],[Região02 3%]]+(Tabela1[[#This Row],[Região02 3%]]*0.06)</f>
        <v>13.333740000000001</v>
      </c>
      <c r="N23" s="38">
        <f>Tabela1[[#This Row],[Preco 3%]]+(Tabela1[[#This Row],[Preco 3%]]*0.08)</f>
        <v>12.9384</v>
      </c>
      <c r="O23" s="38">
        <f>Tabela1[[#This Row],[Região03 3%]]+(Tabela1[[#This Row],[Região03 3%]]*0.06)</f>
        <v>13.714703999999999</v>
      </c>
      <c r="P23" s="40">
        <f>Tabela1[[#This Row],[Preco 3%]]+(Tabela1[[#This Row],[Preco 3%]]*0.06)</f>
        <v>12.6988</v>
      </c>
      <c r="Q23" s="40">
        <f>Tabela1[[#This Row],[Região04 3%]]+(Tabela1[[#This Row],[Região04 3%]]*0.06)</f>
        <v>13.460728</v>
      </c>
    </row>
    <row r="24" spans="1:17" x14ac:dyDescent="0.25">
      <c r="A24">
        <v>326</v>
      </c>
      <c r="B24" t="s">
        <v>343</v>
      </c>
      <c r="C24" t="s">
        <v>344</v>
      </c>
      <c r="D24" t="s">
        <v>349</v>
      </c>
      <c r="E24">
        <v>50</v>
      </c>
      <c r="F24" t="s">
        <v>4</v>
      </c>
      <c r="G24" t="s">
        <v>350</v>
      </c>
      <c r="H24" s="41">
        <v>11.85</v>
      </c>
      <c r="I24" s="35">
        <f>Tabela1[[#This Row],[Preco 3%]]+(Tabela1[[#This Row],[Preco 3%]]*0.06)</f>
        <v>12.561</v>
      </c>
      <c r="J24" s="37">
        <f>Tabela1[[#This Row],[Preco 3%]]+(Tabela1[[#This Row],[Preco 3%]]*0.1)</f>
        <v>13.035</v>
      </c>
      <c r="K24" s="37">
        <f>Tabela1[[#This Row],[Região01 3%]]+(Tabela1[[#This Row],[Região01 3%]]*0.06)</f>
        <v>13.8171</v>
      </c>
      <c r="L24" s="39">
        <f>Tabela1[[#This Row],[Preco 3%]]+(Tabela1[[#This Row],[Preco 3%]]*0.05)</f>
        <v>12.442499999999999</v>
      </c>
      <c r="M24" s="39">
        <f>Tabela1[[#This Row],[Região02 3%]]+(Tabela1[[#This Row],[Região02 3%]]*0.06)</f>
        <v>13.189049999999998</v>
      </c>
      <c r="N24" s="38">
        <f>Tabela1[[#This Row],[Preco 3%]]+(Tabela1[[#This Row],[Preco 3%]]*0.08)</f>
        <v>12.798</v>
      </c>
      <c r="O24" s="38">
        <f>Tabela1[[#This Row],[Região03 3%]]+(Tabela1[[#This Row],[Região03 3%]]*0.06)</f>
        <v>13.56588</v>
      </c>
      <c r="P24" s="40">
        <f>Tabela1[[#This Row],[Preco 3%]]+(Tabela1[[#This Row],[Preco 3%]]*0.06)</f>
        <v>12.561</v>
      </c>
      <c r="Q24" s="40">
        <f>Tabela1[[#This Row],[Região04 3%]]+(Tabela1[[#This Row],[Região04 3%]]*0.06)</f>
        <v>13.31466</v>
      </c>
    </row>
    <row r="25" spans="1:17" x14ac:dyDescent="0.25">
      <c r="A25">
        <v>338</v>
      </c>
      <c r="B25" t="s">
        <v>343</v>
      </c>
      <c r="C25" t="s">
        <v>401</v>
      </c>
      <c r="D25" t="s">
        <v>347</v>
      </c>
      <c r="F25" t="s">
        <v>402</v>
      </c>
      <c r="G25" t="s">
        <v>611</v>
      </c>
      <c r="H25" s="45"/>
      <c r="I25" s="35">
        <f>Tabela1[[#This Row],[Preco 3%]]+(Tabela1[[#This Row],[Preco 3%]]*0.06)</f>
        <v>0</v>
      </c>
      <c r="J25" s="37">
        <f>Tabela1[[#This Row],[Preco 3%]]+(Tabela1[[#This Row],[Preco 3%]]*0.1)</f>
        <v>0</v>
      </c>
      <c r="K25" s="37">
        <f>Tabela1[[#This Row],[Região01 3%]]+(Tabela1[[#This Row],[Região01 3%]]*0.06)</f>
        <v>0</v>
      </c>
      <c r="L25" s="39">
        <f>Tabela1[[#This Row],[Preco 3%]]+(Tabela1[[#This Row],[Preco 3%]]*0.05)</f>
        <v>0</v>
      </c>
      <c r="M25" s="39">
        <f>Tabela1[[#This Row],[Região02 3%]]+(Tabela1[[#This Row],[Região02 3%]]*0.06)</f>
        <v>0</v>
      </c>
      <c r="N25" s="38">
        <f>Tabela1[[#This Row],[Preco 3%]]+(Tabela1[[#This Row],[Preco 3%]]*0.08)</f>
        <v>0</v>
      </c>
      <c r="O25" s="38">
        <f>Tabela1[[#This Row],[Região03 3%]]+(Tabela1[[#This Row],[Região03 3%]]*0.06)</f>
        <v>0</v>
      </c>
      <c r="P25" s="40">
        <f>Tabela1[[#This Row],[Preco 3%]]+(Tabela1[[#This Row],[Preco 3%]]*0.06)</f>
        <v>0</v>
      </c>
      <c r="Q25" s="40">
        <f>Tabela1[[#This Row],[Região04 3%]]+(Tabela1[[#This Row],[Região04 3%]]*0.06)</f>
        <v>0</v>
      </c>
    </row>
    <row r="26" spans="1:17" x14ac:dyDescent="0.25">
      <c r="A26">
        <v>329</v>
      </c>
      <c r="B26" t="s">
        <v>343</v>
      </c>
      <c r="C26" t="s">
        <v>344</v>
      </c>
      <c r="D26" t="s">
        <v>349</v>
      </c>
      <c r="E26">
        <v>50</v>
      </c>
      <c r="F26" t="s">
        <v>4</v>
      </c>
      <c r="G26" t="s">
        <v>352</v>
      </c>
      <c r="H26" s="41">
        <v>14.22</v>
      </c>
      <c r="I26" s="35">
        <f>Tabela1[[#This Row],[Preco 3%]]+(Tabela1[[#This Row],[Preco 3%]]*0.06)</f>
        <v>15.0732</v>
      </c>
      <c r="J26" s="37">
        <f>Tabela1[[#This Row],[Preco 3%]]+(Tabela1[[#This Row],[Preco 3%]]*0.1)</f>
        <v>15.642000000000001</v>
      </c>
      <c r="K26" s="37">
        <f>Tabela1[[#This Row],[Região01 3%]]+(Tabela1[[#This Row],[Região01 3%]]*0.06)</f>
        <v>16.58052</v>
      </c>
      <c r="L26" s="39">
        <f>Tabela1[[#This Row],[Preco 3%]]+(Tabela1[[#This Row],[Preco 3%]]*0.05)</f>
        <v>14.931000000000001</v>
      </c>
      <c r="M26" s="39">
        <f>Tabela1[[#This Row],[Região02 3%]]+(Tabela1[[#This Row],[Região02 3%]]*0.06)</f>
        <v>15.826860000000002</v>
      </c>
      <c r="N26" s="38">
        <f>Tabela1[[#This Row],[Preco 3%]]+(Tabela1[[#This Row],[Preco 3%]]*0.08)</f>
        <v>15.357600000000001</v>
      </c>
      <c r="O26" s="38">
        <f>Tabela1[[#This Row],[Região03 3%]]+(Tabela1[[#This Row],[Região03 3%]]*0.06)</f>
        <v>16.279056000000001</v>
      </c>
      <c r="P26" s="40">
        <f>Tabela1[[#This Row],[Preco 3%]]+(Tabela1[[#This Row],[Preco 3%]]*0.06)</f>
        <v>15.0732</v>
      </c>
      <c r="Q26" s="40">
        <f>Tabela1[[#This Row],[Região04 3%]]+(Tabela1[[#This Row],[Região04 3%]]*0.06)</f>
        <v>15.977592</v>
      </c>
    </row>
    <row r="27" spans="1:17" x14ac:dyDescent="0.25">
      <c r="A27">
        <v>339</v>
      </c>
      <c r="B27" t="s">
        <v>343</v>
      </c>
      <c r="C27" t="s">
        <v>401</v>
      </c>
      <c r="D27" t="s">
        <v>347</v>
      </c>
      <c r="E27">
        <v>32</v>
      </c>
      <c r="F27" t="s">
        <v>402</v>
      </c>
      <c r="G27" t="s">
        <v>403</v>
      </c>
      <c r="H27" s="41">
        <v>16.579999999999998</v>
      </c>
      <c r="I27" s="35">
        <f>Tabela1[[#This Row],[Preco 3%]]+(Tabela1[[#This Row],[Preco 3%]]*0.06)</f>
        <v>17.5748</v>
      </c>
      <c r="J27" s="37">
        <f>Tabela1[[#This Row],[Preco 3%]]+(Tabela1[[#This Row],[Preco 3%]]*0.1)</f>
        <v>18.238</v>
      </c>
      <c r="K27" s="37">
        <f>Tabela1[[#This Row],[Região01 3%]]+(Tabela1[[#This Row],[Região01 3%]]*0.06)</f>
        <v>19.332280000000001</v>
      </c>
      <c r="L27" s="39">
        <f>Tabela1[[#This Row],[Preco 3%]]+(Tabela1[[#This Row],[Preco 3%]]*0.05)</f>
        <v>17.408999999999999</v>
      </c>
      <c r="M27" s="39">
        <f>Tabela1[[#This Row],[Região02 3%]]+(Tabela1[[#This Row],[Região02 3%]]*0.06)</f>
        <v>18.45354</v>
      </c>
      <c r="N27" s="38">
        <f>Tabela1[[#This Row],[Preco 3%]]+(Tabela1[[#This Row],[Preco 3%]]*0.08)</f>
        <v>17.906399999999998</v>
      </c>
      <c r="O27" s="38">
        <f>Tabela1[[#This Row],[Região03 3%]]+(Tabela1[[#This Row],[Região03 3%]]*0.06)</f>
        <v>18.980783999999996</v>
      </c>
      <c r="P27" s="40">
        <f>Tabela1[[#This Row],[Preco 3%]]+(Tabela1[[#This Row],[Preco 3%]]*0.06)</f>
        <v>17.5748</v>
      </c>
      <c r="Q27" s="40">
        <f>Tabela1[[#This Row],[Região04 3%]]+(Tabela1[[#This Row],[Região04 3%]]*0.06)</f>
        <v>18.629287999999999</v>
      </c>
    </row>
    <row r="28" spans="1:17" x14ac:dyDescent="0.25">
      <c r="A28">
        <v>349</v>
      </c>
      <c r="B28" t="s">
        <v>343</v>
      </c>
      <c r="C28" t="s">
        <v>401</v>
      </c>
      <c r="D28" t="s">
        <v>349</v>
      </c>
      <c r="E28">
        <v>32</v>
      </c>
      <c r="F28" t="s">
        <v>402</v>
      </c>
      <c r="G28" t="s">
        <v>403</v>
      </c>
      <c r="H28" s="41">
        <v>19.22</v>
      </c>
      <c r="I28" s="35">
        <f>Tabela1[[#This Row],[Preco 3%]]+(Tabela1[[#This Row],[Preco 3%]]*0.06)</f>
        <v>20.373199999999997</v>
      </c>
      <c r="J28" s="37">
        <f>Tabela1[[#This Row],[Preco 3%]]+(Tabela1[[#This Row],[Preco 3%]]*0.1)</f>
        <v>21.141999999999999</v>
      </c>
      <c r="K28" s="37">
        <f>Tabela1[[#This Row],[Região01 3%]]+(Tabela1[[#This Row],[Região01 3%]]*0.06)</f>
        <v>22.410519999999998</v>
      </c>
      <c r="L28" s="39">
        <f>Tabela1[[#This Row],[Preco 3%]]+(Tabela1[[#This Row],[Preco 3%]]*0.05)</f>
        <v>20.180999999999997</v>
      </c>
      <c r="M28" s="39">
        <f>Tabela1[[#This Row],[Região02 3%]]+(Tabela1[[#This Row],[Região02 3%]]*0.06)</f>
        <v>21.391859999999998</v>
      </c>
      <c r="N28" s="38">
        <f>Tabela1[[#This Row],[Preco 3%]]+(Tabela1[[#This Row],[Preco 3%]]*0.08)</f>
        <v>20.7576</v>
      </c>
      <c r="O28" s="38">
        <f>Tabela1[[#This Row],[Região03 3%]]+(Tabela1[[#This Row],[Região03 3%]]*0.06)</f>
        <v>22.003056000000001</v>
      </c>
      <c r="P28" s="40">
        <f>Tabela1[[#This Row],[Preco 3%]]+(Tabela1[[#This Row],[Preco 3%]]*0.06)</f>
        <v>20.373199999999997</v>
      </c>
      <c r="Q28" s="40">
        <f>Tabela1[[#This Row],[Região04 3%]]+(Tabela1[[#This Row],[Região04 3%]]*0.06)</f>
        <v>21.595591999999996</v>
      </c>
    </row>
    <row r="29" spans="1:17" x14ac:dyDescent="0.25">
      <c r="A29">
        <v>1209</v>
      </c>
      <c r="B29" t="s">
        <v>420</v>
      </c>
      <c r="C29" t="s">
        <v>365</v>
      </c>
      <c r="F29" t="s">
        <v>417</v>
      </c>
      <c r="G29" t="s">
        <v>421</v>
      </c>
      <c r="H29" s="41">
        <v>86.5</v>
      </c>
      <c r="I29" s="35">
        <f>Tabela1[[#This Row],[Preco 3%]]+(Tabela1[[#This Row],[Preco 3%]]*0.06)</f>
        <v>91.69</v>
      </c>
      <c r="J29" s="37">
        <f>Tabela1[[#This Row],[Preco 3%]]+(Tabela1[[#This Row],[Preco 3%]]*0.1)</f>
        <v>95.15</v>
      </c>
      <c r="K29" s="37">
        <f>Tabela1[[#This Row],[Região01 3%]]+(Tabela1[[#This Row],[Região01 3%]]*0.06)</f>
        <v>100.85900000000001</v>
      </c>
      <c r="L29" s="39">
        <f>Tabela1[[#This Row],[Preco 3%]]+(Tabela1[[#This Row],[Preco 3%]]*0.05)</f>
        <v>90.825000000000003</v>
      </c>
      <c r="M29" s="39">
        <f>Tabela1[[#This Row],[Região02 3%]]+(Tabela1[[#This Row],[Região02 3%]]*0.06)</f>
        <v>96.274500000000003</v>
      </c>
      <c r="N29" s="38">
        <f>Tabela1[[#This Row],[Preco 3%]]+(Tabela1[[#This Row],[Preco 3%]]*0.08)</f>
        <v>93.42</v>
      </c>
      <c r="O29" s="38">
        <f>Tabela1[[#This Row],[Região03 3%]]+(Tabela1[[#This Row],[Região03 3%]]*0.06)</f>
        <v>99.025199999999998</v>
      </c>
      <c r="P29" s="40">
        <f>Tabela1[[#This Row],[Preco 3%]]+(Tabela1[[#This Row],[Preco 3%]]*0.06)</f>
        <v>91.69</v>
      </c>
      <c r="Q29" s="40">
        <f>Tabela1[[#This Row],[Região04 3%]]+(Tabela1[[#This Row],[Região04 3%]]*0.06)</f>
        <v>97.191400000000002</v>
      </c>
    </row>
    <row r="30" spans="1:17" x14ac:dyDescent="0.25">
      <c r="A30">
        <v>1586</v>
      </c>
      <c r="B30" t="s">
        <v>364</v>
      </c>
      <c r="C30" t="s">
        <v>365</v>
      </c>
      <c r="E30">
        <v>12</v>
      </c>
      <c r="F30" t="s">
        <v>4</v>
      </c>
      <c r="H30" s="42">
        <v>49.5</v>
      </c>
      <c r="I30" s="35">
        <f>Tabela1[[#This Row],[Preco 3%]]+(Tabela1[[#This Row],[Preco 3%]]*0.06)</f>
        <v>52.47</v>
      </c>
      <c r="J30" s="37">
        <f>Tabela1[[#This Row],[Preco 3%]]+(Tabela1[[#This Row],[Preco 3%]]*0.1)</f>
        <v>54.45</v>
      </c>
      <c r="K30" s="37">
        <f>Tabela1[[#This Row],[Região01 3%]]+(Tabela1[[#This Row],[Região01 3%]]*0.06)</f>
        <v>57.717000000000006</v>
      </c>
      <c r="L30" s="39">
        <f>Tabela1[[#This Row],[Preco 3%]]+(Tabela1[[#This Row],[Preco 3%]]*0.05)</f>
        <v>51.975000000000001</v>
      </c>
      <c r="M30" s="39">
        <f>Tabela1[[#This Row],[Região02 3%]]+(Tabela1[[#This Row],[Região02 3%]]*0.06)</f>
        <v>55.093499999999999</v>
      </c>
      <c r="N30" s="38">
        <f>Tabela1[[#This Row],[Preco 3%]]+(Tabela1[[#This Row],[Preco 3%]]*0.08)</f>
        <v>53.46</v>
      </c>
      <c r="O30" s="38">
        <f>Tabela1[[#This Row],[Região03 3%]]+(Tabela1[[#This Row],[Região03 3%]]*0.06)</f>
        <v>56.6676</v>
      </c>
      <c r="P30" s="40">
        <f>Tabela1[[#This Row],[Preco 3%]]+(Tabela1[[#This Row],[Preco 3%]]*0.06)</f>
        <v>52.47</v>
      </c>
      <c r="Q30" s="40">
        <f>Tabela1[[#This Row],[Região04 3%]]+(Tabela1[[#This Row],[Região04 3%]]*0.06)</f>
        <v>55.618200000000002</v>
      </c>
    </row>
    <row r="31" spans="1:17" x14ac:dyDescent="0.25">
      <c r="A31">
        <v>1587</v>
      </c>
      <c r="B31" t="s">
        <v>367</v>
      </c>
      <c r="C31" t="s">
        <v>369</v>
      </c>
      <c r="E31">
        <v>300</v>
      </c>
      <c r="F31" t="s">
        <v>4</v>
      </c>
      <c r="H31" s="41">
        <v>2.8839999999999999</v>
      </c>
      <c r="I31" s="35">
        <f>Tabela1[[#This Row],[Preco 3%]]+(Tabela1[[#This Row],[Preco 3%]]*0.06)</f>
        <v>3.0570399999999998</v>
      </c>
      <c r="J31" s="37">
        <f>Tabela1[[#This Row],[Preco 3%]]+(Tabela1[[#This Row],[Preco 3%]]*0.1)</f>
        <v>3.1723999999999997</v>
      </c>
      <c r="K31" s="37">
        <f>Tabela1[[#This Row],[Região01 3%]]+(Tabela1[[#This Row],[Região01 3%]]*0.06)</f>
        <v>3.3627439999999997</v>
      </c>
      <c r="L31" s="39">
        <f>Tabela1[[#This Row],[Preco 3%]]+(Tabela1[[#This Row],[Preco 3%]]*0.05)</f>
        <v>3.0282</v>
      </c>
      <c r="M31" s="39">
        <f>Tabela1[[#This Row],[Região02 3%]]+(Tabela1[[#This Row],[Região02 3%]]*0.06)</f>
        <v>3.209892</v>
      </c>
      <c r="N31" s="38">
        <f>Tabela1[[#This Row],[Preco 3%]]+(Tabela1[[#This Row],[Preco 3%]]*0.08)</f>
        <v>3.1147199999999997</v>
      </c>
      <c r="O31" s="38">
        <f>Tabela1[[#This Row],[Região03 3%]]+(Tabela1[[#This Row],[Região03 3%]]*0.06)</f>
        <v>3.3016031999999997</v>
      </c>
      <c r="P31" s="40">
        <f>Tabela1[[#This Row],[Preco 3%]]+(Tabela1[[#This Row],[Preco 3%]]*0.06)</f>
        <v>3.0570399999999998</v>
      </c>
      <c r="Q31" s="40">
        <f>Tabela1[[#This Row],[Região04 3%]]+(Tabela1[[#This Row],[Região04 3%]]*0.06)</f>
        <v>3.2404623999999997</v>
      </c>
    </row>
    <row r="32" spans="1:17" x14ac:dyDescent="0.25">
      <c r="A32">
        <v>1588</v>
      </c>
      <c r="B32" t="s">
        <v>367</v>
      </c>
      <c r="C32" t="s">
        <v>368</v>
      </c>
      <c r="E32">
        <v>150</v>
      </c>
      <c r="F32" t="s">
        <v>4</v>
      </c>
      <c r="H32" s="41">
        <v>5.3353999999999999</v>
      </c>
      <c r="I32" s="35">
        <f>Tabela1[[#This Row],[Preco 3%]]+(Tabela1[[#This Row],[Preco 3%]]*0.06)</f>
        <v>5.6555239999999998</v>
      </c>
      <c r="J32" s="37">
        <f>Tabela1[[#This Row],[Preco 3%]]+(Tabela1[[#This Row],[Preco 3%]]*0.1)</f>
        <v>5.8689400000000003</v>
      </c>
      <c r="K32" s="37">
        <f>Tabela1[[#This Row],[Região01 3%]]+(Tabela1[[#This Row],[Região01 3%]]*0.06)</f>
        <v>6.2210764000000003</v>
      </c>
      <c r="L32" s="39">
        <f>Tabela1[[#This Row],[Preco 3%]]+(Tabela1[[#This Row],[Preco 3%]]*0.05)</f>
        <v>5.6021700000000001</v>
      </c>
      <c r="M32" s="39">
        <f>Tabela1[[#This Row],[Região02 3%]]+(Tabela1[[#This Row],[Região02 3%]]*0.06)</f>
        <v>5.9383002000000005</v>
      </c>
      <c r="N32" s="38">
        <f>Tabela1[[#This Row],[Preco 3%]]+(Tabela1[[#This Row],[Preco 3%]]*0.08)</f>
        <v>5.762232</v>
      </c>
      <c r="O32" s="38">
        <f>Tabela1[[#This Row],[Região03 3%]]+(Tabela1[[#This Row],[Região03 3%]]*0.06)</f>
        <v>6.1079659199999998</v>
      </c>
      <c r="P32" s="40">
        <f>Tabela1[[#This Row],[Preco 3%]]+(Tabela1[[#This Row],[Preco 3%]]*0.06)</f>
        <v>5.6555239999999998</v>
      </c>
      <c r="Q32" s="40">
        <f>Tabela1[[#This Row],[Região04 3%]]+(Tabela1[[#This Row],[Região04 3%]]*0.06)</f>
        <v>5.9948554399999994</v>
      </c>
    </row>
    <row r="33" spans="1:17" x14ac:dyDescent="0.25">
      <c r="A33">
        <v>1589</v>
      </c>
      <c r="B33" t="s">
        <v>370</v>
      </c>
      <c r="C33" t="s">
        <v>374</v>
      </c>
      <c r="D33" t="s">
        <v>372</v>
      </c>
      <c r="E33" t="s">
        <v>375</v>
      </c>
      <c r="F33" t="s">
        <v>4</v>
      </c>
      <c r="H33" s="43">
        <v>4.2876000000000003</v>
      </c>
      <c r="I33" s="35">
        <f>Tabela1[[#This Row],[Preco 3%]]+(Tabela1[[#This Row],[Preco 3%]]*0.06)</f>
        <v>4.5448560000000002</v>
      </c>
      <c r="J33" s="37">
        <f>Tabela1[[#This Row],[Preco 3%]]+(Tabela1[[#This Row],[Preco 3%]]*0.1)</f>
        <v>4.7163599999999999</v>
      </c>
      <c r="K33" s="37">
        <f>Tabela1[[#This Row],[Região01 3%]]+(Tabela1[[#This Row],[Região01 3%]]*0.06)</f>
        <v>4.9993416000000002</v>
      </c>
      <c r="L33" s="39">
        <f>Tabela1[[#This Row],[Preco 3%]]+(Tabela1[[#This Row],[Preco 3%]]*0.05)</f>
        <v>4.5019800000000005</v>
      </c>
      <c r="M33" s="39">
        <f>Tabela1[[#This Row],[Região02 3%]]+(Tabela1[[#This Row],[Região02 3%]]*0.06)</f>
        <v>4.7720988000000002</v>
      </c>
      <c r="N33" s="38">
        <f>Tabela1[[#This Row],[Preco 3%]]+(Tabela1[[#This Row],[Preco 3%]]*0.08)</f>
        <v>4.6306080000000005</v>
      </c>
      <c r="O33" s="38">
        <f>Tabela1[[#This Row],[Região03 3%]]+(Tabela1[[#This Row],[Região03 3%]]*0.06)</f>
        <v>4.9084444800000009</v>
      </c>
      <c r="P33" s="40">
        <f>Tabela1[[#This Row],[Preco 3%]]+(Tabela1[[#This Row],[Preco 3%]]*0.06)</f>
        <v>4.5448560000000002</v>
      </c>
      <c r="Q33" s="40">
        <f>Tabela1[[#This Row],[Região04 3%]]+(Tabela1[[#This Row],[Região04 3%]]*0.06)</f>
        <v>4.8175473599999998</v>
      </c>
    </row>
    <row r="34" spans="1:17" x14ac:dyDescent="0.25">
      <c r="A34">
        <v>1590</v>
      </c>
      <c r="B34" t="s">
        <v>370</v>
      </c>
      <c r="C34" t="s">
        <v>376</v>
      </c>
      <c r="D34" t="s">
        <v>372</v>
      </c>
      <c r="E34" t="s">
        <v>375</v>
      </c>
      <c r="F34" t="s">
        <v>4</v>
      </c>
      <c r="H34" s="43">
        <v>5.3028000000000004</v>
      </c>
      <c r="I34" s="35">
        <f>Tabela1[[#This Row],[Preco 3%]]+(Tabela1[[#This Row],[Preco 3%]]*0.06)</f>
        <v>5.6209680000000004</v>
      </c>
      <c r="J34" s="37">
        <f>Tabela1[[#This Row],[Preco 3%]]+(Tabela1[[#This Row],[Preco 3%]]*0.1)</f>
        <v>5.8330800000000007</v>
      </c>
      <c r="K34" s="37">
        <f>Tabela1[[#This Row],[Região01 3%]]+(Tabela1[[#This Row],[Região01 3%]]*0.06)</f>
        <v>6.1830648000000004</v>
      </c>
      <c r="L34" s="39">
        <f>Tabela1[[#This Row],[Preco 3%]]+(Tabela1[[#This Row],[Preco 3%]]*0.05)</f>
        <v>5.5679400000000001</v>
      </c>
      <c r="M34" s="39">
        <f>Tabela1[[#This Row],[Região02 3%]]+(Tabela1[[#This Row],[Região02 3%]]*0.06)</f>
        <v>5.9020163999999999</v>
      </c>
      <c r="N34" s="38">
        <f>Tabela1[[#This Row],[Preco 3%]]+(Tabela1[[#This Row],[Preco 3%]]*0.08)</f>
        <v>5.7270240000000001</v>
      </c>
      <c r="O34" s="38">
        <f>Tabela1[[#This Row],[Região03 3%]]+(Tabela1[[#This Row],[Região03 3%]]*0.06)</f>
        <v>6.0706454399999998</v>
      </c>
      <c r="P34" s="40">
        <f>Tabela1[[#This Row],[Preco 3%]]+(Tabela1[[#This Row],[Preco 3%]]*0.06)</f>
        <v>5.6209680000000004</v>
      </c>
      <c r="Q34" s="40">
        <f>Tabela1[[#This Row],[Região04 3%]]+(Tabela1[[#This Row],[Região04 3%]]*0.06)</f>
        <v>5.9582260800000002</v>
      </c>
    </row>
    <row r="35" spans="1:17" x14ac:dyDescent="0.25">
      <c r="A35">
        <v>1592</v>
      </c>
      <c r="B35" t="s">
        <v>370</v>
      </c>
      <c r="C35" t="s">
        <v>377</v>
      </c>
      <c r="D35" t="s">
        <v>372</v>
      </c>
      <c r="E35" t="s">
        <v>378</v>
      </c>
      <c r="F35" t="s">
        <v>4</v>
      </c>
      <c r="H35" s="43">
        <v>6.0804</v>
      </c>
      <c r="I35" s="35">
        <f>Tabela1[[#This Row],[Preco 3%]]+(Tabela1[[#This Row],[Preco 3%]]*0.06)</f>
        <v>6.4452239999999996</v>
      </c>
      <c r="J35" s="37">
        <f>Tabela1[[#This Row],[Preco 3%]]+(Tabela1[[#This Row],[Preco 3%]]*0.1)</f>
        <v>6.6884399999999999</v>
      </c>
      <c r="K35" s="37">
        <f>Tabela1[[#This Row],[Região01 3%]]+(Tabela1[[#This Row],[Região01 3%]]*0.06)</f>
        <v>7.0897464000000001</v>
      </c>
      <c r="L35" s="39">
        <f>Tabela1[[#This Row],[Preco 3%]]+(Tabela1[[#This Row],[Preco 3%]]*0.05)</f>
        <v>6.3844200000000004</v>
      </c>
      <c r="M35" s="39">
        <f>Tabela1[[#This Row],[Região02 3%]]+(Tabela1[[#This Row],[Região02 3%]]*0.06)</f>
        <v>6.7674852000000003</v>
      </c>
      <c r="N35" s="38">
        <f>Tabela1[[#This Row],[Preco 3%]]+(Tabela1[[#This Row],[Preco 3%]]*0.08)</f>
        <v>6.5668319999999998</v>
      </c>
      <c r="O35" s="38">
        <f>Tabela1[[#This Row],[Região03 3%]]+(Tabela1[[#This Row],[Região03 3%]]*0.06)</f>
        <v>6.96084192</v>
      </c>
      <c r="P35" s="40">
        <f>Tabela1[[#This Row],[Preco 3%]]+(Tabela1[[#This Row],[Preco 3%]]*0.06)</f>
        <v>6.4452239999999996</v>
      </c>
      <c r="Q35" s="40">
        <f>Tabela1[[#This Row],[Região04 3%]]+(Tabela1[[#This Row],[Região04 3%]]*0.06)</f>
        <v>6.8319374399999999</v>
      </c>
    </row>
    <row r="36" spans="1:17" x14ac:dyDescent="0.25">
      <c r="A36">
        <v>1593</v>
      </c>
      <c r="B36" t="s">
        <v>370</v>
      </c>
      <c r="C36" t="s">
        <v>379</v>
      </c>
      <c r="D36" t="s">
        <v>372</v>
      </c>
      <c r="E36" t="s">
        <v>380</v>
      </c>
      <c r="F36" t="s">
        <v>4</v>
      </c>
      <c r="H36" s="43">
        <v>7.83</v>
      </c>
      <c r="I36" s="35">
        <f>Tabela1[[#This Row],[Preco 3%]]+(Tabela1[[#This Row],[Preco 3%]]*0.06)</f>
        <v>8.2997999999999994</v>
      </c>
      <c r="J36" s="37">
        <f>Tabela1[[#This Row],[Preco 3%]]+(Tabela1[[#This Row],[Preco 3%]]*0.1)</f>
        <v>8.6129999999999995</v>
      </c>
      <c r="K36" s="37">
        <f>Tabela1[[#This Row],[Região01 3%]]+(Tabela1[[#This Row],[Região01 3%]]*0.06)</f>
        <v>9.1297800000000002</v>
      </c>
      <c r="L36" s="39">
        <f>Tabela1[[#This Row],[Preco 3%]]+(Tabela1[[#This Row],[Preco 3%]]*0.05)</f>
        <v>8.2215000000000007</v>
      </c>
      <c r="M36" s="39">
        <f>Tabela1[[#This Row],[Região02 3%]]+(Tabela1[[#This Row],[Região02 3%]]*0.06)</f>
        <v>8.7147900000000007</v>
      </c>
      <c r="N36" s="38">
        <f>Tabela1[[#This Row],[Preco 3%]]+(Tabela1[[#This Row],[Preco 3%]]*0.08)</f>
        <v>8.4564000000000004</v>
      </c>
      <c r="O36" s="38">
        <f>Tabela1[[#This Row],[Região03 3%]]+(Tabela1[[#This Row],[Região03 3%]]*0.06)</f>
        <v>8.9637840000000004</v>
      </c>
      <c r="P36" s="40">
        <f>Tabela1[[#This Row],[Preco 3%]]+(Tabela1[[#This Row],[Preco 3%]]*0.06)</f>
        <v>8.2997999999999994</v>
      </c>
      <c r="Q36" s="40">
        <f>Tabela1[[#This Row],[Região04 3%]]+(Tabela1[[#This Row],[Região04 3%]]*0.06)</f>
        <v>8.7977879999999988</v>
      </c>
    </row>
    <row r="37" spans="1:17" x14ac:dyDescent="0.25">
      <c r="A37">
        <v>1594</v>
      </c>
      <c r="B37" t="s">
        <v>370</v>
      </c>
      <c r="C37" t="s">
        <v>381</v>
      </c>
      <c r="D37" t="s">
        <v>372</v>
      </c>
      <c r="E37" t="s">
        <v>382</v>
      </c>
      <c r="F37" t="s">
        <v>4</v>
      </c>
      <c r="H37" s="43">
        <v>11.5992</v>
      </c>
      <c r="I37" s="35">
        <f>Tabela1[[#This Row],[Preco 3%]]+(Tabela1[[#This Row],[Preco 3%]]*0.06)</f>
        <v>12.295152</v>
      </c>
      <c r="J37" s="37">
        <f>Tabela1[[#This Row],[Preco 3%]]+(Tabela1[[#This Row],[Preco 3%]]*0.1)</f>
        <v>12.759119999999999</v>
      </c>
      <c r="K37" s="37">
        <f>Tabela1[[#This Row],[Região01 3%]]+(Tabela1[[#This Row],[Região01 3%]]*0.06)</f>
        <v>13.5246672</v>
      </c>
      <c r="L37" s="39">
        <f>Tabela1[[#This Row],[Preco 3%]]+(Tabela1[[#This Row],[Preco 3%]]*0.05)</f>
        <v>12.17916</v>
      </c>
      <c r="M37" s="39">
        <f>Tabela1[[#This Row],[Região02 3%]]+(Tabela1[[#This Row],[Região02 3%]]*0.06)</f>
        <v>12.909909599999999</v>
      </c>
      <c r="N37" s="38">
        <f>Tabela1[[#This Row],[Preco 3%]]+(Tabela1[[#This Row],[Preco 3%]]*0.08)</f>
        <v>12.527136</v>
      </c>
      <c r="O37" s="38">
        <f>Tabela1[[#This Row],[Região03 3%]]+(Tabela1[[#This Row],[Região03 3%]]*0.06)</f>
        <v>13.27876416</v>
      </c>
      <c r="P37" s="40">
        <f>Tabela1[[#This Row],[Preco 3%]]+(Tabela1[[#This Row],[Preco 3%]]*0.06)</f>
        <v>12.295152</v>
      </c>
      <c r="Q37" s="40">
        <f>Tabela1[[#This Row],[Região04 3%]]+(Tabela1[[#This Row],[Região04 3%]]*0.06)</f>
        <v>13.03286112</v>
      </c>
    </row>
    <row r="38" spans="1:17" x14ac:dyDescent="0.25">
      <c r="A38">
        <v>1595</v>
      </c>
      <c r="B38" t="s">
        <v>370</v>
      </c>
      <c r="C38" t="s">
        <v>385</v>
      </c>
      <c r="D38" t="s">
        <v>372</v>
      </c>
      <c r="E38" t="s">
        <v>386</v>
      </c>
      <c r="F38" t="s">
        <v>4</v>
      </c>
      <c r="H38" s="43">
        <v>5.8103999999999996</v>
      </c>
      <c r="I38" s="35">
        <f>Tabela1[[#This Row],[Preco 3%]]+(Tabela1[[#This Row],[Preco 3%]]*0.06)</f>
        <v>6.1590239999999996</v>
      </c>
      <c r="J38" s="37">
        <f>Tabela1[[#This Row],[Preco 3%]]+(Tabela1[[#This Row],[Preco 3%]]*0.1)</f>
        <v>6.3914399999999993</v>
      </c>
      <c r="K38" s="37">
        <f>Tabela1[[#This Row],[Região01 3%]]+(Tabela1[[#This Row],[Região01 3%]]*0.06)</f>
        <v>6.7749263999999991</v>
      </c>
      <c r="L38" s="39">
        <f>Tabela1[[#This Row],[Preco 3%]]+(Tabela1[[#This Row],[Preco 3%]]*0.05)</f>
        <v>6.1009199999999995</v>
      </c>
      <c r="M38" s="39">
        <f>Tabela1[[#This Row],[Região02 3%]]+(Tabela1[[#This Row],[Região02 3%]]*0.06)</f>
        <v>6.4669751999999994</v>
      </c>
      <c r="N38" s="38">
        <f>Tabela1[[#This Row],[Preco 3%]]+(Tabela1[[#This Row],[Preco 3%]]*0.08)</f>
        <v>6.2752319999999999</v>
      </c>
      <c r="O38" s="38">
        <f>Tabela1[[#This Row],[Região03 3%]]+(Tabela1[[#This Row],[Região03 3%]]*0.06)</f>
        <v>6.6517459199999998</v>
      </c>
      <c r="P38" s="40">
        <f>Tabela1[[#This Row],[Preco 3%]]+(Tabela1[[#This Row],[Preco 3%]]*0.06)</f>
        <v>6.1590239999999996</v>
      </c>
      <c r="Q38" s="40">
        <f>Tabela1[[#This Row],[Região04 3%]]+(Tabela1[[#This Row],[Região04 3%]]*0.06)</f>
        <v>6.5285654399999995</v>
      </c>
    </row>
    <row r="39" spans="1:17" x14ac:dyDescent="0.25">
      <c r="A39">
        <v>1596</v>
      </c>
      <c r="B39" t="s">
        <v>370</v>
      </c>
      <c r="C39" t="s">
        <v>387</v>
      </c>
      <c r="D39" t="s">
        <v>372</v>
      </c>
      <c r="E39" t="s">
        <v>378</v>
      </c>
      <c r="F39" t="s">
        <v>4</v>
      </c>
      <c r="H39" s="43">
        <v>7.3224</v>
      </c>
      <c r="I39" s="35">
        <f>Tabela1[[#This Row],[Preco 3%]]+(Tabela1[[#This Row],[Preco 3%]]*0.06)</f>
        <v>7.7617440000000002</v>
      </c>
      <c r="J39" s="37">
        <f>Tabela1[[#This Row],[Preco 3%]]+(Tabela1[[#This Row],[Preco 3%]]*0.1)</f>
        <v>8.0546399999999991</v>
      </c>
      <c r="K39" s="37">
        <f>Tabela1[[#This Row],[Região01 3%]]+(Tabela1[[#This Row],[Região01 3%]]*0.06)</f>
        <v>8.5379183999999988</v>
      </c>
      <c r="L39" s="39">
        <f>Tabela1[[#This Row],[Preco 3%]]+(Tabela1[[#This Row],[Preco 3%]]*0.05)</f>
        <v>7.6885200000000005</v>
      </c>
      <c r="M39" s="39">
        <f>Tabela1[[#This Row],[Região02 3%]]+(Tabela1[[#This Row],[Região02 3%]]*0.06)</f>
        <v>8.1498312000000013</v>
      </c>
      <c r="N39" s="38">
        <f>Tabela1[[#This Row],[Preco 3%]]+(Tabela1[[#This Row],[Preco 3%]]*0.08)</f>
        <v>7.9081919999999997</v>
      </c>
      <c r="O39" s="38">
        <f>Tabela1[[#This Row],[Região03 3%]]+(Tabela1[[#This Row],[Região03 3%]]*0.06)</f>
        <v>8.3826835200000005</v>
      </c>
      <c r="P39" s="40">
        <f>Tabela1[[#This Row],[Preco 3%]]+(Tabela1[[#This Row],[Preco 3%]]*0.06)</f>
        <v>7.7617440000000002</v>
      </c>
      <c r="Q39" s="40">
        <f>Tabela1[[#This Row],[Região04 3%]]+(Tabela1[[#This Row],[Região04 3%]]*0.06)</f>
        <v>8.2274486400000004</v>
      </c>
    </row>
    <row r="40" spans="1:17" x14ac:dyDescent="0.25">
      <c r="A40">
        <v>1597</v>
      </c>
      <c r="B40" t="s">
        <v>370</v>
      </c>
      <c r="C40" t="s">
        <v>388</v>
      </c>
      <c r="D40" t="s">
        <v>372</v>
      </c>
      <c r="E40" t="s">
        <v>389</v>
      </c>
      <c r="F40" t="s">
        <v>4</v>
      </c>
      <c r="H40" s="43">
        <v>8.5752000000000006</v>
      </c>
      <c r="I40" s="35">
        <f>Tabela1[[#This Row],[Preco 3%]]+(Tabela1[[#This Row],[Preco 3%]]*0.06)</f>
        <v>9.0897120000000005</v>
      </c>
      <c r="J40" s="37">
        <f>Tabela1[[#This Row],[Preco 3%]]+(Tabela1[[#This Row],[Preco 3%]]*0.1)</f>
        <v>9.4327199999999998</v>
      </c>
      <c r="K40" s="37">
        <f>Tabela1[[#This Row],[Região01 3%]]+(Tabela1[[#This Row],[Região01 3%]]*0.06)</f>
        <v>9.9986832000000003</v>
      </c>
      <c r="L40" s="39">
        <f>Tabela1[[#This Row],[Preco 3%]]+(Tabela1[[#This Row],[Preco 3%]]*0.05)</f>
        <v>9.0039600000000011</v>
      </c>
      <c r="M40" s="39">
        <f>Tabela1[[#This Row],[Região02 3%]]+(Tabela1[[#This Row],[Região02 3%]]*0.06)</f>
        <v>9.5441976000000004</v>
      </c>
      <c r="N40" s="38">
        <f>Tabela1[[#This Row],[Preco 3%]]+(Tabela1[[#This Row],[Preco 3%]]*0.08)</f>
        <v>9.261216000000001</v>
      </c>
      <c r="O40" s="38">
        <f>Tabela1[[#This Row],[Região03 3%]]+(Tabela1[[#This Row],[Região03 3%]]*0.06)</f>
        <v>9.8168889600000018</v>
      </c>
      <c r="P40" s="40">
        <f>Tabela1[[#This Row],[Preco 3%]]+(Tabela1[[#This Row],[Preco 3%]]*0.06)</f>
        <v>9.0897120000000005</v>
      </c>
      <c r="Q40" s="40">
        <f>Tabela1[[#This Row],[Região04 3%]]+(Tabela1[[#This Row],[Região04 3%]]*0.06)</f>
        <v>9.6350947199999997</v>
      </c>
    </row>
    <row r="41" spans="1:17" x14ac:dyDescent="0.25">
      <c r="A41">
        <v>1598</v>
      </c>
      <c r="B41" t="s">
        <v>370</v>
      </c>
      <c r="C41" t="s">
        <v>390</v>
      </c>
      <c r="D41" t="s">
        <v>372</v>
      </c>
      <c r="E41" t="s">
        <v>391</v>
      </c>
      <c r="F41" t="s">
        <v>4</v>
      </c>
      <c r="H41" s="43">
        <v>11.124000000000001</v>
      </c>
      <c r="I41" s="35">
        <f>Tabela1[[#This Row],[Preco 3%]]+(Tabela1[[#This Row],[Preco 3%]]*0.06)</f>
        <v>11.791440000000001</v>
      </c>
      <c r="J41" s="37">
        <f>Tabela1[[#This Row],[Preco 3%]]+(Tabela1[[#This Row],[Preco 3%]]*0.1)</f>
        <v>12.2364</v>
      </c>
      <c r="K41" s="37">
        <f>Tabela1[[#This Row],[Região01 3%]]+(Tabela1[[#This Row],[Região01 3%]]*0.06)</f>
        <v>12.970583999999999</v>
      </c>
      <c r="L41" s="39">
        <f>Tabela1[[#This Row],[Preco 3%]]+(Tabela1[[#This Row],[Preco 3%]]*0.05)</f>
        <v>11.680200000000001</v>
      </c>
      <c r="M41" s="39">
        <f>Tabela1[[#This Row],[Região02 3%]]+(Tabela1[[#This Row],[Região02 3%]]*0.06)</f>
        <v>12.381012000000002</v>
      </c>
      <c r="N41" s="38">
        <f>Tabela1[[#This Row],[Preco 3%]]+(Tabela1[[#This Row],[Preco 3%]]*0.08)</f>
        <v>12.013920000000001</v>
      </c>
      <c r="O41" s="38">
        <f>Tabela1[[#This Row],[Região03 3%]]+(Tabela1[[#This Row],[Região03 3%]]*0.06)</f>
        <v>12.7347552</v>
      </c>
      <c r="P41" s="40">
        <f>Tabela1[[#This Row],[Preco 3%]]+(Tabela1[[#This Row],[Preco 3%]]*0.06)</f>
        <v>11.791440000000001</v>
      </c>
      <c r="Q41" s="40">
        <f>Tabela1[[#This Row],[Região04 3%]]+(Tabela1[[#This Row],[Região04 3%]]*0.06)</f>
        <v>12.498926400000002</v>
      </c>
    </row>
    <row r="42" spans="1:17" x14ac:dyDescent="0.25">
      <c r="A42">
        <v>1599</v>
      </c>
      <c r="B42" t="s">
        <v>370</v>
      </c>
      <c r="C42" t="s">
        <v>392</v>
      </c>
      <c r="D42" t="s">
        <v>372</v>
      </c>
      <c r="E42" t="s">
        <v>393</v>
      </c>
      <c r="F42" t="s">
        <v>4</v>
      </c>
      <c r="H42" s="43">
        <v>15.9192</v>
      </c>
      <c r="I42" s="35">
        <f>Tabela1[[#This Row],[Preco 3%]]+(Tabela1[[#This Row],[Preco 3%]]*0.06)</f>
        <v>16.874352000000002</v>
      </c>
      <c r="J42" s="37">
        <f>Tabela1[[#This Row],[Preco 3%]]+(Tabela1[[#This Row],[Preco 3%]]*0.1)</f>
        <v>17.511119999999998</v>
      </c>
      <c r="K42" s="37">
        <f>Tabela1[[#This Row],[Região01 3%]]+(Tabela1[[#This Row],[Região01 3%]]*0.06)</f>
        <v>18.561787199999998</v>
      </c>
      <c r="L42" s="39">
        <f>Tabela1[[#This Row],[Preco 3%]]+(Tabela1[[#This Row],[Preco 3%]]*0.05)</f>
        <v>16.715160000000001</v>
      </c>
      <c r="M42" s="39">
        <f>Tabela1[[#This Row],[Região02 3%]]+(Tabela1[[#This Row],[Região02 3%]]*0.06)</f>
        <v>17.7180696</v>
      </c>
      <c r="N42" s="38">
        <f>Tabela1[[#This Row],[Preco 3%]]+(Tabela1[[#This Row],[Preco 3%]]*0.08)</f>
        <v>17.192736</v>
      </c>
      <c r="O42" s="38">
        <f>Tabela1[[#This Row],[Região03 3%]]+(Tabela1[[#This Row],[Região03 3%]]*0.06)</f>
        <v>18.224300159999999</v>
      </c>
      <c r="P42" s="40">
        <f>Tabela1[[#This Row],[Preco 3%]]+(Tabela1[[#This Row],[Preco 3%]]*0.06)</f>
        <v>16.874352000000002</v>
      </c>
      <c r="Q42" s="40">
        <f>Tabela1[[#This Row],[Região04 3%]]+(Tabela1[[#This Row],[Região04 3%]]*0.06)</f>
        <v>17.886813120000003</v>
      </c>
    </row>
    <row r="43" spans="1:17" x14ac:dyDescent="0.25">
      <c r="A43">
        <v>1611</v>
      </c>
      <c r="B43" t="s">
        <v>394</v>
      </c>
      <c r="C43" t="s">
        <v>385</v>
      </c>
      <c r="D43" t="s">
        <v>372</v>
      </c>
      <c r="E43" t="s">
        <v>398</v>
      </c>
      <c r="F43" t="s">
        <v>4</v>
      </c>
      <c r="H43" s="43">
        <v>5.6268000000000002</v>
      </c>
      <c r="I43" s="35">
        <f>Tabela1[[#This Row],[Preco 3%]]+(Tabela1[[#This Row],[Preco 3%]]*0.06)</f>
        <v>5.9644080000000006</v>
      </c>
      <c r="J43" s="37">
        <f>Tabela1[[#This Row],[Preco 3%]]+(Tabela1[[#This Row],[Preco 3%]]*0.1)</f>
        <v>6.1894800000000005</v>
      </c>
      <c r="K43" s="37">
        <f>Tabela1[[#This Row],[Região01 3%]]+(Tabela1[[#This Row],[Região01 3%]]*0.06)</f>
        <v>6.5608488000000005</v>
      </c>
      <c r="L43" s="39">
        <f>Tabela1[[#This Row],[Preco 3%]]+(Tabela1[[#This Row],[Preco 3%]]*0.05)</f>
        <v>5.9081400000000004</v>
      </c>
      <c r="M43" s="39">
        <f>Tabela1[[#This Row],[Região02 3%]]+(Tabela1[[#This Row],[Região02 3%]]*0.06)</f>
        <v>6.2626284000000005</v>
      </c>
      <c r="N43" s="38">
        <f>Tabela1[[#This Row],[Preco 3%]]+(Tabela1[[#This Row],[Preco 3%]]*0.08)</f>
        <v>6.0769440000000001</v>
      </c>
      <c r="O43" s="38">
        <f>Tabela1[[#This Row],[Região03 3%]]+(Tabela1[[#This Row],[Região03 3%]]*0.06)</f>
        <v>6.4415606400000005</v>
      </c>
      <c r="P43" s="40">
        <f>Tabela1[[#This Row],[Preco 3%]]+(Tabela1[[#This Row],[Preco 3%]]*0.06)</f>
        <v>5.9644080000000006</v>
      </c>
      <c r="Q43" s="40">
        <f>Tabela1[[#This Row],[Região04 3%]]+(Tabela1[[#This Row],[Região04 3%]]*0.06)</f>
        <v>6.3222724800000005</v>
      </c>
    </row>
    <row r="44" spans="1:17" x14ac:dyDescent="0.25">
      <c r="A44">
        <v>1612</v>
      </c>
      <c r="B44" t="s">
        <v>394</v>
      </c>
      <c r="C44" t="s">
        <v>387</v>
      </c>
      <c r="D44" t="s">
        <v>372</v>
      </c>
      <c r="E44" t="s">
        <v>380</v>
      </c>
      <c r="F44" t="s">
        <v>4</v>
      </c>
      <c r="H44" s="43">
        <v>7.1063999999999998</v>
      </c>
      <c r="I44" s="35">
        <f>Tabela1[[#This Row],[Preco 3%]]+(Tabela1[[#This Row],[Preco 3%]]*0.06)</f>
        <v>7.5327839999999995</v>
      </c>
      <c r="J44" s="37">
        <f>Tabela1[[#This Row],[Preco 3%]]+(Tabela1[[#This Row],[Preco 3%]]*0.1)</f>
        <v>7.8170399999999995</v>
      </c>
      <c r="K44" s="37">
        <f>Tabela1[[#This Row],[Região01 3%]]+(Tabela1[[#This Row],[Região01 3%]]*0.06)</f>
        <v>8.2860623999999987</v>
      </c>
      <c r="L44" s="39">
        <f>Tabela1[[#This Row],[Preco 3%]]+(Tabela1[[#This Row],[Preco 3%]]*0.05)</f>
        <v>7.4617199999999997</v>
      </c>
      <c r="M44" s="39">
        <f>Tabela1[[#This Row],[Região02 3%]]+(Tabela1[[#This Row],[Região02 3%]]*0.06)</f>
        <v>7.9094232</v>
      </c>
      <c r="N44" s="38">
        <f>Tabela1[[#This Row],[Preco 3%]]+(Tabela1[[#This Row],[Preco 3%]]*0.08)</f>
        <v>7.674912</v>
      </c>
      <c r="O44" s="38">
        <f>Tabela1[[#This Row],[Região03 3%]]+(Tabela1[[#This Row],[Região03 3%]]*0.06)</f>
        <v>8.1354067200000006</v>
      </c>
      <c r="P44" s="40">
        <f>Tabela1[[#This Row],[Preco 3%]]+(Tabela1[[#This Row],[Preco 3%]]*0.06)</f>
        <v>7.5327839999999995</v>
      </c>
      <c r="Q44" s="40">
        <f>Tabela1[[#This Row],[Região04 3%]]+(Tabela1[[#This Row],[Região04 3%]]*0.06)</f>
        <v>7.984751039999999</v>
      </c>
    </row>
    <row r="45" spans="1:17" x14ac:dyDescent="0.25">
      <c r="A45">
        <v>1613</v>
      </c>
      <c r="B45" t="s">
        <v>394</v>
      </c>
      <c r="C45" t="s">
        <v>388</v>
      </c>
      <c r="D45" t="s">
        <v>372</v>
      </c>
      <c r="E45" t="s">
        <v>391</v>
      </c>
      <c r="F45" t="s">
        <v>4</v>
      </c>
      <c r="H45" s="43">
        <v>8.3160000000000007</v>
      </c>
      <c r="I45" s="35">
        <f>Tabela1[[#This Row],[Preco 3%]]+(Tabela1[[#This Row],[Preco 3%]]*0.06)</f>
        <v>8.814960000000001</v>
      </c>
      <c r="J45" s="37">
        <f>Tabela1[[#This Row],[Preco 3%]]+(Tabela1[[#This Row],[Preco 3%]]*0.1)</f>
        <v>9.1476000000000006</v>
      </c>
      <c r="K45" s="37">
        <f>Tabela1[[#This Row],[Região01 3%]]+(Tabela1[[#This Row],[Região01 3%]]*0.06)</f>
        <v>9.6964560000000013</v>
      </c>
      <c r="L45" s="39">
        <f>Tabela1[[#This Row],[Preco 3%]]+(Tabela1[[#This Row],[Preco 3%]]*0.05)</f>
        <v>8.7318000000000016</v>
      </c>
      <c r="M45" s="39">
        <f>Tabela1[[#This Row],[Região02 3%]]+(Tabela1[[#This Row],[Região02 3%]]*0.06)</f>
        <v>9.255708000000002</v>
      </c>
      <c r="N45" s="38">
        <f>Tabela1[[#This Row],[Preco 3%]]+(Tabela1[[#This Row],[Preco 3%]]*0.08)</f>
        <v>8.9812800000000017</v>
      </c>
      <c r="O45" s="38">
        <f>Tabela1[[#This Row],[Região03 3%]]+(Tabela1[[#This Row],[Região03 3%]]*0.06)</f>
        <v>9.5201568000000023</v>
      </c>
      <c r="P45" s="40">
        <f>Tabela1[[#This Row],[Preco 3%]]+(Tabela1[[#This Row],[Preco 3%]]*0.06)</f>
        <v>8.814960000000001</v>
      </c>
      <c r="Q45" s="40">
        <f>Tabela1[[#This Row],[Região04 3%]]+(Tabela1[[#This Row],[Região04 3%]]*0.06)</f>
        <v>9.3438576000000015</v>
      </c>
    </row>
    <row r="46" spans="1:17" x14ac:dyDescent="0.25">
      <c r="A46">
        <v>1614</v>
      </c>
      <c r="B46" t="s">
        <v>394</v>
      </c>
      <c r="C46" t="s">
        <v>390</v>
      </c>
      <c r="D46" t="s">
        <v>372</v>
      </c>
      <c r="E46" t="s">
        <v>399</v>
      </c>
      <c r="F46" t="s">
        <v>4</v>
      </c>
      <c r="H46" s="43">
        <v>10.789200000000001</v>
      </c>
      <c r="I46" s="35">
        <f>Tabela1[[#This Row],[Preco 3%]]+(Tabela1[[#This Row],[Preco 3%]]*0.06)</f>
        <v>11.436552000000001</v>
      </c>
      <c r="J46" s="37">
        <f>Tabela1[[#This Row],[Preco 3%]]+(Tabela1[[#This Row],[Preco 3%]]*0.1)</f>
        <v>11.868120000000001</v>
      </c>
      <c r="K46" s="37">
        <f>Tabela1[[#This Row],[Região01 3%]]+(Tabela1[[#This Row],[Região01 3%]]*0.06)</f>
        <v>12.5802072</v>
      </c>
      <c r="L46" s="39">
        <f>Tabela1[[#This Row],[Preco 3%]]+(Tabela1[[#This Row],[Preco 3%]]*0.05)</f>
        <v>11.328660000000001</v>
      </c>
      <c r="M46" s="39">
        <f>Tabela1[[#This Row],[Região02 3%]]+(Tabela1[[#This Row],[Região02 3%]]*0.06)</f>
        <v>12.008379600000001</v>
      </c>
      <c r="N46" s="38">
        <f>Tabela1[[#This Row],[Preco 3%]]+(Tabela1[[#This Row],[Preco 3%]]*0.08)</f>
        <v>11.652336000000002</v>
      </c>
      <c r="O46" s="38">
        <f>Tabela1[[#This Row],[Região03 3%]]+(Tabela1[[#This Row],[Região03 3%]]*0.06)</f>
        <v>12.351476160000002</v>
      </c>
      <c r="P46" s="40">
        <f>Tabela1[[#This Row],[Preco 3%]]+(Tabela1[[#This Row],[Preco 3%]]*0.06)</f>
        <v>11.436552000000001</v>
      </c>
      <c r="Q46" s="40">
        <f>Tabela1[[#This Row],[Região04 3%]]+(Tabela1[[#This Row],[Região04 3%]]*0.06)</f>
        <v>12.122745120000001</v>
      </c>
    </row>
    <row r="47" spans="1:17" x14ac:dyDescent="0.25">
      <c r="A47">
        <v>1615</v>
      </c>
      <c r="B47" t="s">
        <v>394</v>
      </c>
      <c r="C47" t="s">
        <v>392</v>
      </c>
      <c r="D47" t="s">
        <v>372</v>
      </c>
      <c r="E47" t="s">
        <v>400</v>
      </c>
      <c r="F47" t="s">
        <v>4</v>
      </c>
      <c r="H47" s="43">
        <v>15.444000000000001</v>
      </c>
      <c r="I47" s="35">
        <f>Tabela1[[#This Row],[Preco 3%]]+(Tabela1[[#This Row],[Preco 3%]]*0.06)</f>
        <v>16.370640000000002</v>
      </c>
      <c r="J47" s="37">
        <f>Tabela1[[#This Row],[Preco 3%]]+(Tabela1[[#This Row],[Preco 3%]]*0.1)</f>
        <v>16.988400000000002</v>
      </c>
      <c r="K47" s="37">
        <f>Tabela1[[#This Row],[Região01 3%]]+(Tabela1[[#This Row],[Região01 3%]]*0.06)</f>
        <v>18.007704000000004</v>
      </c>
      <c r="L47" s="39">
        <f>Tabela1[[#This Row],[Preco 3%]]+(Tabela1[[#This Row],[Preco 3%]]*0.05)</f>
        <v>16.216200000000001</v>
      </c>
      <c r="M47" s="39">
        <f>Tabela1[[#This Row],[Região02 3%]]+(Tabela1[[#This Row],[Região02 3%]]*0.06)</f>
        <v>17.189171999999999</v>
      </c>
      <c r="N47" s="38">
        <f>Tabela1[[#This Row],[Preco 3%]]+(Tabela1[[#This Row],[Preco 3%]]*0.08)</f>
        <v>16.67952</v>
      </c>
      <c r="O47" s="38">
        <f>Tabela1[[#This Row],[Região03 3%]]+(Tabela1[[#This Row],[Região03 3%]]*0.06)</f>
        <v>17.680291199999999</v>
      </c>
      <c r="P47" s="40">
        <f>Tabela1[[#This Row],[Preco 3%]]+(Tabela1[[#This Row],[Preco 3%]]*0.06)</f>
        <v>16.370640000000002</v>
      </c>
      <c r="Q47" s="40">
        <f>Tabela1[[#This Row],[Região04 3%]]+(Tabela1[[#This Row],[Região04 3%]]*0.06)</f>
        <v>17.352878400000002</v>
      </c>
    </row>
    <row r="48" spans="1:17" x14ac:dyDescent="0.25">
      <c r="A48">
        <v>1616</v>
      </c>
      <c r="B48" t="s">
        <v>394</v>
      </c>
      <c r="C48" t="s">
        <v>374</v>
      </c>
      <c r="D48" t="s">
        <v>372</v>
      </c>
      <c r="E48" t="s">
        <v>375</v>
      </c>
      <c r="F48" t="s">
        <v>4</v>
      </c>
      <c r="H48" s="43">
        <v>4.1580000000000004</v>
      </c>
      <c r="I48" s="35">
        <f>Tabela1[[#This Row],[Preco 3%]]+(Tabela1[[#This Row],[Preco 3%]]*0.06)</f>
        <v>4.4074800000000005</v>
      </c>
      <c r="J48" s="37">
        <f>Tabela1[[#This Row],[Preco 3%]]+(Tabela1[[#This Row],[Preco 3%]]*0.1)</f>
        <v>4.5738000000000003</v>
      </c>
      <c r="K48" s="37">
        <f>Tabela1[[#This Row],[Região01 3%]]+(Tabela1[[#This Row],[Região01 3%]]*0.06)</f>
        <v>4.8482280000000006</v>
      </c>
      <c r="L48" s="39">
        <f>Tabela1[[#This Row],[Preco 3%]]+(Tabela1[[#This Row],[Preco 3%]]*0.05)</f>
        <v>4.3659000000000008</v>
      </c>
      <c r="M48" s="39">
        <f>Tabela1[[#This Row],[Região02 3%]]+(Tabela1[[#This Row],[Região02 3%]]*0.06)</f>
        <v>4.627854000000001</v>
      </c>
      <c r="N48" s="38">
        <f>Tabela1[[#This Row],[Preco 3%]]+(Tabela1[[#This Row],[Preco 3%]]*0.08)</f>
        <v>4.4906400000000009</v>
      </c>
      <c r="O48" s="38">
        <f>Tabela1[[#This Row],[Região03 3%]]+(Tabela1[[#This Row],[Região03 3%]]*0.06)</f>
        <v>4.7600784000000012</v>
      </c>
      <c r="P48" s="40">
        <f>Tabela1[[#This Row],[Preco 3%]]+(Tabela1[[#This Row],[Preco 3%]]*0.06)</f>
        <v>4.4074800000000005</v>
      </c>
      <c r="Q48" s="40">
        <f>Tabela1[[#This Row],[Região04 3%]]+(Tabela1[[#This Row],[Região04 3%]]*0.06)</f>
        <v>4.6719288000000008</v>
      </c>
    </row>
    <row r="49" spans="1:17" x14ac:dyDescent="0.25">
      <c r="A49">
        <v>1617</v>
      </c>
      <c r="B49" t="s">
        <v>394</v>
      </c>
      <c r="C49" t="s">
        <v>376</v>
      </c>
      <c r="D49" t="s">
        <v>372</v>
      </c>
      <c r="E49" t="s">
        <v>395</v>
      </c>
      <c r="F49" t="s">
        <v>4</v>
      </c>
      <c r="H49" s="43">
        <v>5.1407999999999996</v>
      </c>
      <c r="I49" s="35">
        <f>Tabela1[[#This Row],[Preco 3%]]+(Tabela1[[#This Row],[Preco 3%]]*0.06)</f>
        <v>5.4492479999999999</v>
      </c>
      <c r="J49" s="37">
        <f>Tabela1[[#This Row],[Preco 3%]]+(Tabela1[[#This Row],[Preco 3%]]*0.1)</f>
        <v>5.6548799999999995</v>
      </c>
      <c r="K49" s="37">
        <f>Tabela1[[#This Row],[Região01 3%]]+(Tabela1[[#This Row],[Região01 3%]]*0.06)</f>
        <v>5.9941727999999994</v>
      </c>
      <c r="L49" s="39">
        <f>Tabela1[[#This Row],[Preco 3%]]+(Tabela1[[#This Row],[Preco 3%]]*0.05)</f>
        <v>5.3978399999999995</v>
      </c>
      <c r="M49" s="39">
        <f>Tabela1[[#This Row],[Região02 3%]]+(Tabela1[[#This Row],[Região02 3%]]*0.06)</f>
        <v>5.7217103999999992</v>
      </c>
      <c r="N49" s="38">
        <f>Tabela1[[#This Row],[Preco 3%]]+(Tabela1[[#This Row],[Preco 3%]]*0.08)</f>
        <v>5.5520639999999997</v>
      </c>
      <c r="O49" s="38">
        <f>Tabela1[[#This Row],[Região03 3%]]+(Tabela1[[#This Row],[Região03 3%]]*0.06)</f>
        <v>5.8851878399999995</v>
      </c>
      <c r="P49" s="40">
        <f>Tabela1[[#This Row],[Preco 3%]]+(Tabela1[[#This Row],[Preco 3%]]*0.06)</f>
        <v>5.4492479999999999</v>
      </c>
      <c r="Q49" s="40">
        <f>Tabela1[[#This Row],[Região04 3%]]+(Tabela1[[#This Row],[Região04 3%]]*0.06)</f>
        <v>5.7762028799999996</v>
      </c>
    </row>
    <row r="50" spans="1:17" x14ac:dyDescent="0.25">
      <c r="A50">
        <v>1618</v>
      </c>
      <c r="B50" t="s">
        <v>394</v>
      </c>
      <c r="C50" t="s">
        <v>377</v>
      </c>
      <c r="D50" t="s">
        <v>372</v>
      </c>
      <c r="E50" t="s">
        <v>380</v>
      </c>
      <c r="F50" t="s">
        <v>4</v>
      </c>
      <c r="H50" s="43">
        <v>5.9075999999999995</v>
      </c>
      <c r="I50" s="35">
        <f>Tabela1[[#This Row],[Preco 3%]]+(Tabela1[[#This Row],[Preco 3%]]*0.06)</f>
        <v>6.2620559999999994</v>
      </c>
      <c r="J50" s="37">
        <f>Tabela1[[#This Row],[Preco 3%]]+(Tabela1[[#This Row],[Preco 3%]]*0.1)</f>
        <v>6.4983599999999999</v>
      </c>
      <c r="K50" s="37">
        <f>Tabela1[[#This Row],[Região01 3%]]+(Tabela1[[#This Row],[Região01 3%]]*0.06)</f>
        <v>6.8882615999999999</v>
      </c>
      <c r="L50" s="39">
        <f>Tabela1[[#This Row],[Preco 3%]]+(Tabela1[[#This Row],[Preco 3%]]*0.05)</f>
        <v>6.2029799999999993</v>
      </c>
      <c r="M50" s="39">
        <f>Tabela1[[#This Row],[Região02 3%]]+(Tabela1[[#This Row],[Região02 3%]]*0.06)</f>
        <v>6.5751587999999987</v>
      </c>
      <c r="N50" s="38">
        <f>Tabela1[[#This Row],[Preco 3%]]+(Tabela1[[#This Row],[Preco 3%]]*0.08)</f>
        <v>6.3802079999999997</v>
      </c>
      <c r="O50" s="38">
        <f>Tabela1[[#This Row],[Região03 3%]]+(Tabela1[[#This Row],[Região03 3%]]*0.06)</f>
        <v>6.7630204799999998</v>
      </c>
      <c r="P50" s="40">
        <f>Tabela1[[#This Row],[Preco 3%]]+(Tabela1[[#This Row],[Preco 3%]]*0.06)</f>
        <v>6.2620559999999994</v>
      </c>
      <c r="Q50" s="40">
        <f>Tabela1[[#This Row],[Região04 3%]]+(Tabela1[[#This Row],[Região04 3%]]*0.06)</f>
        <v>6.6377793599999997</v>
      </c>
    </row>
    <row r="51" spans="1:17" x14ac:dyDescent="0.25">
      <c r="A51">
        <v>1619</v>
      </c>
      <c r="B51" t="s">
        <v>394</v>
      </c>
      <c r="C51" t="s">
        <v>379</v>
      </c>
      <c r="D51" t="s">
        <v>372</v>
      </c>
      <c r="E51" t="s">
        <v>396</v>
      </c>
      <c r="F51" t="s">
        <v>4</v>
      </c>
      <c r="H51" s="43">
        <v>7.5924000000000005</v>
      </c>
      <c r="I51" s="35">
        <f>Tabela1[[#This Row],[Preco 3%]]+(Tabela1[[#This Row],[Preco 3%]]*0.06)</f>
        <v>8.0479440000000011</v>
      </c>
      <c r="J51" s="37">
        <f>Tabela1[[#This Row],[Preco 3%]]+(Tabela1[[#This Row],[Preco 3%]]*0.1)</f>
        <v>8.3516399999999997</v>
      </c>
      <c r="K51" s="37">
        <f>Tabela1[[#This Row],[Região01 3%]]+(Tabela1[[#This Row],[Região01 3%]]*0.06)</f>
        <v>8.8527383999999998</v>
      </c>
      <c r="L51" s="39">
        <f>Tabela1[[#This Row],[Preco 3%]]+(Tabela1[[#This Row],[Preco 3%]]*0.05)</f>
        <v>7.9720200000000006</v>
      </c>
      <c r="M51" s="39">
        <f>Tabela1[[#This Row],[Região02 3%]]+(Tabela1[[#This Row],[Região02 3%]]*0.06)</f>
        <v>8.4503412000000004</v>
      </c>
      <c r="N51" s="38">
        <f>Tabela1[[#This Row],[Preco 3%]]+(Tabela1[[#This Row],[Preco 3%]]*0.08)</f>
        <v>8.1997920000000004</v>
      </c>
      <c r="O51" s="38">
        <f>Tabela1[[#This Row],[Região03 3%]]+(Tabela1[[#This Row],[Região03 3%]]*0.06)</f>
        <v>8.6917795200000008</v>
      </c>
      <c r="P51" s="40">
        <f>Tabela1[[#This Row],[Preco 3%]]+(Tabela1[[#This Row],[Preco 3%]]*0.06)</f>
        <v>8.0479440000000011</v>
      </c>
      <c r="Q51" s="40">
        <f>Tabela1[[#This Row],[Região04 3%]]+(Tabela1[[#This Row],[Região04 3%]]*0.06)</f>
        <v>8.5308206400000017</v>
      </c>
    </row>
    <row r="52" spans="1:17" x14ac:dyDescent="0.25">
      <c r="A52">
        <v>1620</v>
      </c>
      <c r="B52" t="s">
        <v>394</v>
      </c>
      <c r="C52" t="s">
        <v>381</v>
      </c>
      <c r="D52" t="s">
        <v>372</v>
      </c>
      <c r="E52" t="s">
        <v>397</v>
      </c>
      <c r="F52" t="s">
        <v>4</v>
      </c>
      <c r="H52" s="43">
        <v>11.2536</v>
      </c>
      <c r="I52" s="35">
        <f>Tabela1[[#This Row],[Preco 3%]]+(Tabela1[[#This Row],[Preco 3%]]*0.06)</f>
        <v>11.928816000000001</v>
      </c>
      <c r="J52" s="37">
        <f>Tabela1[[#This Row],[Preco 3%]]+(Tabela1[[#This Row],[Preco 3%]]*0.1)</f>
        <v>12.378960000000001</v>
      </c>
      <c r="K52" s="37">
        <f>Tabela1[[#This Row],[Região01 3%]]+(Tabela1[[#This Row],[Região01 3%]]*0.06)</f>
        <v>13.121697600000001</v>
      </c>
      <c r="L52" s="39">
        <f>Tabela1[[#This Row],[Preco 3%]]+(Tabela1[[#This Row],[Preco 3%]]*0.05)</f>
        <v>11.816280000000001</v>
      </c>
      <c r="M52" s="39">
        <f>Tabela1[[#This Row],[Região02 3%]]+(Tabela1[[#This Row],[Região02 3%]]*0.06)</f>
        <v>12.525256800000001</v>
      </c>
      <c r="N52" s="38">
        <f>Tabela1[[#This Row],[Preco 3%]]+(Tabela1[[#This Row],[Preco 3%]]*0.08)</f>
        <v>12.153888</v>
      </c>
      <c r="O52" s="38">
        <f>Tabela1[[#This Row],[Região03 3%]]+(Tabela1[[#This Row],[Região03 3%]]*0.06)</f>
        <v>12.883121280000001</v>
      </c>
      <c r="P52" s="40">
        <f>Tabela1[[#This Row],[Preco 3%]]+(Tabela1[[#This Row],[Preco 3%]]*0.06)</f>
        <v>11.928816000000001</v>
      </c>
      <c r="Q52" s="40">
        <f>Tabela1[[#This Row],[Região04 3%]]+(Tabela1[[#This Row],[Região04 3%]]*0.06)</f>
        <v>12.644544960000001</v>
      </c>
    </row>
    <row r="53" spans="1:17" x14ac:dyDescent="0.25">
      <c r="A53">
        <v>1639</v>
      </c>
      <c r="B53" t="s">
        <v>367</v>
      </c>
      <c r="C53" t="s">
        <v>369</v>
      </c>
      <c r="F53" t="s">
        <v>417</v>
      </c>
      <c r="G53" t="s">
        <v>408</v>
      </c>
      <c r="H53" s="41">
        <v>4.4084000000000003</v>
      </c>
      <c r="I53" s="35">
        <f>Tabela1[[#This Row],[Preco 3%]]+(Tabela1[[#This Row],[Preco 3%]]*0.06)</f>
        <v>4.6729039999999999</v>
      </c>
      <c r="J53" s="37">
        <f>Tabela1[[#This Row],[Preco 3%]]+(Tabela1[[#This Row],[Preco 3%]]*0.1)</f>
        <v>4.84924</v>
      </c>
      <c r="K53" s="37">
        <f>Tabela1[[#This Row],[Região01 3%]]+(Tabela1[[#This Row],[Região01 3%]]*0.06)</f>
        <v>5.1401944000000004</v>
      </c>
      <c r="L53" s="39">
        <f>Tabela1[[#This Row],[Preco 3%]]+(Tabela1[[#This Row],[Preco 3%]]*0.05)</f>
        <v>4.6288200000000002</v>
      </c>
      <c r="M53" s="39">
        <f>Tabela1[[#This Row],[Região02 3%]]+(Tabela1[[#This Row],[Região02 3%]]*0.06)</f>
        <v>4.9065492000000006</v>
      </c>
      <c r="N53" s="38">
        <f>Tabela1[[#This Row],[Preco 3%]]+(Tabela1[[#This Row],[Preco 3%]]*0.08)</f>
        <v>4.7610720000000004</v>
      </c>
      <c r="O53" s="38">
        <f>Tabela1[[#This Row],[Região03 3%]]+(Tabela1[[#This Row],[Região03 3%]]*0.06)</f>
        <v>5.0467363200000008</v>
      </c>
      <c r="P53" s="40">
        <f>Tabela1[[#This Row],[Preco 3%]]+(Tabela1[[#This Row],[Preco 3%]]*0.06)</f>
        <v>4.6729039999999999</v>
      </c>
      <c r="Q53" s="40">
        <f>Tabela1[[#This Row],[Região04 3%]]+(Tabela1[[#This Row],[Região04 3%]]*0.06)</f>
        <v>4.9532782399999995</v>
      </c>
    </row>
    <row r="54" spans="1:17" x14ac:dyDescent="0.25">
      <c r="A54">
        <v>1640</v>
      </c>
      <c r="B54" t="s">
        <v>367</v>
      </c>
      <c r="C54" t="s">
        <v>368</v>
      </c>
      <c r="F54" t="s">
        <v>417</v>
      </c>
      <c r="G54" t="s">
        <v>408</v>
      </c>
      <c r="H54" s="41">
        <v>8.1988000000000003</v>
      </c>
      <c r="I54" s="35">
        <f>Tabela1[[#This Row],[Preco 3%]]+(Tabela1[[#This Row],[Preco 3%]]*0.06)</f>
        <v>8.690728</v>
      </c>
      <c r="J54" s="37">
        <f>Tabela1[[#This Row],[Preco 3%]]+(Tabela1[[#This Row],[Preco 3%]]*0.1)</f>
        <v>9.0186799999999998</v>
      </c>
      <c r="K54" s="37">
        <f>Tabela1[[#This Row],[Região01 3%]]+(Tabela1[[#This Row],[Região01 3%]]*0.06)</f>
        <v>9.5598007999999997</v>
      </c>
      <c r="L54" s="39">
        <f>Tabela1[[#This Row],[Preco 3%]]+(Tabela1[[#This Row],[Preco 3%]]*0.05)</f>
        <v>8.6087400000000009</v>
      </c>
      <c r="M54" s="39">
        <f>Tabela1[[#This Row],[Região02 3%]]+(Tabela1[[#This Row],[Região02 3%]]*0.06)</f>
        <v>9.1252644000000007</v>
      </c>
      <c r="N54" s="38">
        <f>Tabela1[[#This Row],[Preco 3%]]+(Tabela1[[#This Row],[Preco 3%]]*0.08)</f>
        <v>8.8547039999999999</v>
      </c>
      <c r="O54" s="38">
        <f>Tabela1[[#This Row],[Região03 3%]]+(Tabela1[[#This Row],[Região03 3%]]*0.06)</f>
        <v>9.3859862399999994</v>
      </c>
      <c r="P54" s="40">
        <f>Tabela1[[#This Row],[Preco 3%]]+(Tabela1[[#This Row],[Preco 3%]]*0.06)</f>
        <v>8.690728</v>
      </c>
      <c r="Q54" s="40">
        <f>Tabela1[[#This Row],[Região04 3%]]+(Tabela1[[#This Row],[Região04 3%]]*0.06)</f>
        <v>9.2121716800000009</v>
      </c>
    </row>
    <row r="55" spans="1:17" x14ac:dyDescent="0.25">
      <c r="A55">
        <v>1641</v>
      </c>
      <c r="B55" t="s">
        <v>416</v>
      </c>
      <c r="C55" t="s">
        <v>410</v>
      </c>
      <c r="D55" t="s">
        <v>345</v>
      </c>
      <c r="F55" t="s">
        <v>417</v>
      </c>
      <c r="H55" s="41">
        <v>0.64800000000000002</v>
      </c>
      <c r="I55" s="35">
        <f>Tabela1[[#This Row],[Preco 3%]]+(Tabela1[[#This Row],[Preco 3%]]*0.06)</f>
        <v>0.68688000000000005</v>
      </c>
      <c r="J55" s="37">
        <f>Tabela1[[#This Row],[Preco 3%]]+(Tabela1[[#This Row],[Preco 3%]]*0.1)</f>
        <v>0.71279999999999999</v>
      </c>
      <c r="K55" s="37">
        <f>Tabela1[[#This Row],[Região01 3%]]+(Tabela1[[#This Row],[Região01 3%]]*0.06)</f>
        <v>0.75556800000000002</v>
      </c>
      <c r="L55" s="39">
        <f>Tabela1[[#This Row],[Preco 3%]]+(Tabela1[[#This Row],[Preco 3%]]*0.05)</f>
        <v>0.6804</v>
      </c>
      <c r="M55" s="39">
        <f>Tabela1[[#This Row],[Região02 3%]]+(Tabela1[[#This Row],[Região02 3%]]*0.06)</f>
        <v>0.72122399999999998</v>
      </c>
      <c r="N55" s="38">
        <f>Tabela1[[#This Row],[Preco 3%]]+(Tabela1[[#This Row],[Preco 3%]]*0.08)</f>
        <v>0.69984000000000002</v>
      </c>
      <c r="O55" s="38">
        <f>Tabela1[[#This Row],[Região03 3%]]+(Tabela1[[#This Row],[Região03 3%]]*0.06)</f>
        <v>0.7418304</v>
      </c>
      <c r="P55" s="40">
        <f>Tabela1[[#This Row],[Preco 3%]]+(Tabela1[[#This Row],[Preco 3%]]*0.06)</f>
        <v>0.68688000000000005</v>
      </c>
      <c r="Q55" s="40">
        <f>Tabela1[[#This Row],[Região04 3%]]+(Tabela1[[#This Row],[Região04 3%]]*0.06)</f>
        <v>0.7280928000000001</v>
      </c>
    </row>
    <row r="56" spans="1:17" x14ac:dyDescent="0.25">
      <c r="A56">
        <v>1642</v>
      </c>
      <c r="B56" t="s">
        <v>418</v>
      </c>
      <c r="C56" t="s">
        <v>410</v>
      </c>
      <c r="D56" t="s">
        <v>347</v>
      </c>
      <c r="F56" t="s">
        <v>417</v>
      </c>
      <c r="H56" s="41">
        <v>0.66959999999999997</v>
      </c>
      <c r="I56" s="35">
        <f>Tabela1[[#This Row],[Preco 3%]]+(Tabela1[[#This Row],[Preco 3%]]*0.06)</f>
        <v>0.70977599999999996</v>
      </c>
      <c r="J56" s="37">
        <f>Tabela1[[#This Row],[Preco 3%]]+(Tabela1[[#This Row],[Preco 3%]]*0.1)</f>
        <v>0.73655999999999999</v>
      </c>
      <c r="K56" s="37">
        <f>Tabela1[[#This Row],[Região01 3%]]+(Tabela1[[#This Row],[Região01 3%]]*0.06)</f>
        <v>0.78075359999999994</v>
      </c>
      <c r="L56" s="39">
        <f>Tabela1[[#This Row],[Preco 3%]]+(Tabela1[[#This Row],[Preco 3%]]*0.05)</f>
        <v>0.70307999999999993</v>
      </c>
      <c r="M56" s="39">
        <f>Tabela1[[#This Row],[Região02 3%]]+(Tabela1[[#This Row],[Região02 3%]]*0.06)</f>
        <v>0.74526479999999995</v>
      </c>
      <c r="N56" s="38">
        <f>Tabela1[[#This Row],[Preco 3%]]+(Tabela1[[#This Row],[Preco 3%]]*0.08)</f>
        <v>0.72316799999999992</v>
      </c>
      <c r="O56" s="38">
        <f>Tabela1[[#This Row],[Região03 3%]]+(Tabela1[[#This Row],[Região03 3%]]*0.06)</f>
        <v>0.76655807999999992</v>
      </c>
      <c r="P56" s="40">
        <f>Tabela1[[#This Row],[Preco 3%]]+(Tabela1[[#This Row],[Preco 3%]]*0.06)</f>
        <v>0.70977599999999996</v>
      </c>
      <c r="Q56" s="40">
        <f>Tabela1[[#This Row],[Região04 3%]]+(Tabela1[[#This Row],[Região04 3%]]*0.06)</f>
        <v>0.7523625599999999</v>
      </c>
    </row>
    <row r="57" spans="1:17" x14ac:dyDescent="0.25">
      <c r="A57">
        <v>1643</v>
      </c>
      <c r="B57" t="s">
        <v>419</v>
      </c>
      <c r="C57" t="s">
        <v>410</v>
      </c>
      <c r="D57" t="s">
        <v>349</v>
      </c>
      <c r="F57" t="s">
        <v>417</v>
      </c>
      <c r="H57" s="41">
        <v>0.70200000000000007</v>
      </c>
      <c r="I57" s="35">
        <f>Tabela1[[#This Row],[Preco 3%]]+(Tabela1[[#This Row],[Preco 3%]]*0.06)</f>
        <v>0.74412000000000011</v>
      </c>
      <c r="J57" s="37">
        <f>Tabela1[[#This Row],[Preco 3%]]+(Tabela1[[#This Row],[Preco 3%]]*0.1)</f>
        <v>0.77220000000000011</v>
      </c>
      <c r="K57" s="37">
        <f>Tabela1[[#This Row],[Região01 3%]]+(Tabela1[[#This Row],[Região01 3%]]*0.06)</f>
        <v>0.81853200000000015</v>
      </c>
      <c r="L57" s="39">
        <f>Tabela1[[#This Row],[Preco 3%]]+(Tabela1[[#This Row],[Preco 3%]]*0.05)</f>
        <v>0.73710000000000009</v>
      </c>
      <c r="M57" s="39">
        <f>Tabela1[[#This Row],[Região02 3%]]+(Tabela1[[#This Row],[Região02 3%]]*0.06)</f>
        <v>0.78132600000000008</v>
      </c>
      <c r="N57" s="38">
        <f>Tabela1[[#This Row],[Preco 3%]]+(Tabela1[[#This Row],[Preco 3%]]*0.08)</f>
        <v>0.75816000000000006</v>
      </c>
      <c r="O57" s="38">
        <f>Tabela1[[#This Row],[Região03 3%]]+(Tabela1[[#This Row],[Região03 3%]]*0.06)</f>
        <v>0.80364960000000008</v>
      </c>
      <c r="P57" s="40">
        <f>Tabela1[[#This Row],[Preco 3%]]+(Tabela1[[#This Row],[Preco 3%]]*0.06)</f>
        <v>0.74412000000000011</v>
      </c>
      <c r="Q57" s="40">
        <f>Tabela1[[#This Row],[Região04 3%]]+(Tabela1[[#This Row],[Região04 3%]]*0.06)</f>
        <v>0.78876720000000011</v>
      </c>
    </row>
    <row r="58" spans="1:17" x14ac:dyDescent="0.25">
      <c r="A58">
        <v>1644</v>
      </c>
      <c r="B58" t="s">
        <v>370</v>
      </c>
      <c r="C58" t="s">
        <v>371</v>
      </c>
      <c r="D58" t="s">
        <v>372</v>
      </c>
      <c r="E58" t="s">
        <v>373</v>
      </c>
      <c r="F58" t="s">
        <v>4</v>
      </c>
      <c r="H58" s="44">
        <v>3.9528000000000003</v>
      </c>
      <c r="I58" s="35">
        <f>Tabela1[[#This Row],[Preco 3%]]+(Tabela1[[#This Row],[Preco 3%]]*0.06)</f>
        <v>4.1899680000000004</v>
      </c>
      <c r="J58" s="37">
        <f>Tabela1[[#This Row],[Preco 3%]]+(Tabela1[[#This Row],[Preco 3%]]*0.1)</f>
        <v>4.3480800000000004</v>
      </c>
      <c r="K58" s="37">
        <f>Tabela1[[#This Row],[Região01 3%]]+(Tabela1[[#This Row],[Região01 3%]]*0.06)</f>
        <v>4.6089648000000007</v>
      </c>
      <c r="L58" s="39">
        <f>Tabela1[[#This Row],[Preco 3%]]+(Tabela1[[#This Row],[Preco 3%]]*0.05)</f>
        <v>4.1504400000000006</v>
      </c>
      <c r="M58" s="39">
        <f>Tabela1[[#This Row],[Região02 3%]]+(Tabela1[[#This Row],[Região02 3%]]*0.06)</f>
        <v>4.3994664000000006</v>
      </c>
      <c r="N58" s="38">
        <f>Tabela1[[#This Row],[Preco 3%]]+(Tabela1[[#This Row],[Preco 3%]]*0.08)</f>
        <v>4.2690239999999999</v>
      </c>
      <c r="O58" s="38">
        <f>Tabela1[[#This Row],[Região03 3%]]+(Tabela1[[#This Row],[Região03 3%]]*0.06)</f>
        <v>4.5251654400000003</v>
      </c>
      <c r="P58" s="40">
        <f>Tabela1[[#This Row],[Preco 3%]]+(Tabela1[[#This Row],[Preco 3%]]*0.06)</f>
        <v>4.1899680000000004</v>
      </c>
      <c r="Q58" s="40">
        <f>Tabela1[[#This Row],[Região04 3%]]+(Tabela1[[#This Row],[Região04 3%]]*0.06)</f>
        <v>4.4413660800000008</v>
      </c>
    </row>
    <row r="59" spans="1:17" x14ac:dyDescent="0.25">
      <c r="A59">
        <v>1656</v>
      </c>
      <c r="B59" t="s">
        <v>370</v>
      </c>
      <c r="C59" t="s">
        <v>374</v>
      </c>
      <c r="D59" t="s">
        <v>372</v>
      </c>
      <c r="E59" t="s">
        <v>375</v>
      </c>
      <c r="F59" t="s">
        <v>417</v>
      </c>
      <c r="H59" s="45">
        <v>5.0111999999999997</v>
      </c>
      <c r="I59" s="35">
        <f>Tabela1[[#This Row],[Preco 3%]]+(Tabela1[[#This Row],[Preco 3%]]*0.06)</f>
        <v>5.3118719999999993</v>
      </c>
      <c r="J59" s="37">
        <f>Tabela1[[#This Row],[Preco 3%]]+(Tabela1[[#This Row],[Preco 3%]]*0.1)</f>
        <v>5.5123199999999999</v>
      </c>
      <c r="K59" s="37">
        <f>Tabela1[[#This Row],[Região01 3%]]+(Tabela1[[#This Row],[Região01 3%]]*0.06)</f>
        <v>5.8430591999999999</v>
      </c>
      <c r="L59" s="39">
        <f>Tabela1[[#This Row],[Preco 3%]]+(Tabela1[[#This Row],[Preco 3%]]*0.05)</f>
        <v>5.2617599999999998</v>
      </c>
      <c r="M59" s="39">
        <f>Tabela1[[#This Row],[Região02 3%]]+(Tabela1[[#This Row],[Região02 3%]]*0.06)</f>
        <v>5.5774656</v>
      </c>
      <c r="N59" s="38">
        <f>Tabela1[[#This Row],[Preco 3%]]+(Tabela1[[#This Row],[Preco 3%]]*0.08)</f>
        <v>5.412096</v>
      </c>
      <c r="O59" s="38">
        <f>Tabela1[[#This Row],[Região03 3%]]+(Tabela1[[#This Row],[Região03 3%]]*0.06)</f>
        <v>5.7368217599999998</v>
      </c>
      <c r="P59" s="40">
        <f>Tabela1[[#This Row],[Preco 3%]]+(Tabela1[[#This Row],[Preco 3%]]*0.06)</f>
        <v>5.3118719999999993</v>
      </c>
      <c r="Q59" s="40">
        <f>Tabela1[[#This Row],[Região04 3%]]+(Tabela1[[#This Row],[Região04 3%]]*0.06)</f>
        <v>5.6305843199999988</v>
      </c>
    </row>
    <row r="60" spans="1:17" x14ac:dyDescent="0.25">
      <c r="A60">
        <v>1657</v>
      </c>
      <c r="B60" t="s">
        <v>370</v>
      </c>
      <c r="C60" t="s">
        <v>376</v>
      </c>
      <c r="D60" t="s">
        <v>372</v>
      </c>
      <c r="E60" t="s">
        <v>422</v>
      </c>
      <c r="F60" t="s">
        <v>417</v>
      </c>
      <c r="H60" s="45">
        <v>6.1992000000000003</v>
      </c>
      <c r="I60" s="35">
        <f>Tabela1[[#This Row],[Preco 3%]]+(Tabela1[[#This Row],[Preco 3%]]*0.06)</f>
        <v>6.5711520000000005</v>
      </c>
      <c r="J60" s="37">
        <f>Tabela1[[#This Row],[Preco 3%]]+(Tabela1[[#This Row],[Preco 3%]]*0.1)</f>
        <v>6.8191199999999998</v>
      </c>
      <c r="K60" s="37">
        <f>Tabela1[[#This Row],[Região01 3%]]+(Tabela1[[#This Row],[Região01 3%]]*0.06)</f>
        <v>7.2282671999999994</v>
      </c>
      <c r="L60" s="39">
        <f>Tabela1[[#This Row],[Preco 3%]]+(Tabela1[[#This Row],[Preco 3%]]*0.05)</f>
        <v>6.5091600000000005</v>
      </c>
      <c r="M60" s="39">
        <f>Tabela1[[#This Row],[Região02 3%]]+(Tabela1[[#This Row],[Região02 3%]]*0.06)</f>
        <v>6.8997096000000004</v>
      </c>
      <c r="N60" s="38">
        <f>Tabela1[[#This Row],[Preco 3%]]+(Tabela1[[#This Row],[Preco 3%]]*0.08)</f>
        <v>6.6951360000000006</v>
      </c>
      <c r="O60" s="38">
        <f>Tabela1[[#This Row],[Região03 3%]]+(Tabela1[[#This Row],[Região03 3%]]*0.06)</f>
        <v>7.0968441600000007</v>
      </c>
      <c r="P60" s="40">
        <f>Tabela1[[#This Row],[Preco 3%]]+(Tabela1[[#This Row],[Preco 3%]]*0.06)</f>
        <v>6.5711520000000005</v>
      </c>
      <c r="Q60" s="40">
        <f>Tabela1[[#This Row],[Região04 3%]]+(Tabela1[[#This Row],[Região04 3%]]*0.06)</f>
        <v>6.9654211200000002</v>
      </c>
    </row>
    <row r="61" spans="1:17" x14ac:dyDescent="0.25">
      <c r="A61">
        <v>1658</v>
      </c>
      <c r="B61" t="s">
        <v>370</v>
      </c>
      <c r="C61" t="s">
        <v>377</v>
      </c>
      <c r="D61" t="s">
        <v>372</v>
      </c>
      <c r="E61" t="s">
        <v>423</v>
      </c>
      <c r="F61" t="s">
        <v>417</v>
      </c>
      <c r="H61" s="45">
        <v>7.0956000000000001</v>
      </c>
      <c r="I61" s="35">
        <f>Tabela1[[#This Row],[Preco 3%]]+(Tabela1[[#This Row],[Preco 3%]]*0.06)</f>
        <v>7.5213359999999998</v>
      </c>
      <c r="J61" s="37">
        <f>Tabela1[[#This Row],[Preco 3%]]+(Tabela1[[#This Row],[Preco 3%]]*0.1)</f>
        <v>7.8051599999999999</v>
      </c>
      <c r="K61" s="37">
        <f>Tabela1[[#This Row],[Região01 3%]]+(Tabela1[[#This Row],[Região01 3%]]*0.06)</f>
        <v>8.2734696000000003</v>
      </c>
      <c r="L61" s="39">
        <f>Tabela1[[#This Row],[Preco 3%]]+(Tabela1[[#This Row],[Preco 3%]]*0.05)</f>
        <v>7.45038</v>
      </c>
      <c r="M61" s="39">
        <f>Tabela1[[#This Row],[Região02 3%]]+(Tabela1[[#This Row],[Região02 3%]]*0.06)</f>
        <v>7.8974028000000001</v>
      </c>
      <c r="N61" s="38">
        <f>Tabela1[[#This Row],[Preco 3%]]+(Tabela1[[#This Row],[Preco 3%]]*0.08)</f>
        <v>7.6632480000000003</v>
      </c>
      <c r="O61" s="38">
        <f>Tabela1[[#This Row],[Região03 3%]]+(Tabela1[[#This Row],[Região03 3%]]*0.06)</f>
        <v>8.1230428799999999</v>
      </c>
      <c r="P61" s="40">
        <f>Tabela1[[#This Row],[Preco 3%]]+(Tabela1[[#This Row],[Preco 3%]]*0.06)</f>
        <v>7.5213359999999998</v>
      </c>
      <c r="Q61" s="40">
        <f>Tabela1[[#This Row],[Região04 3%]]+(Tabela1[[#This Row],[Região04 3%]]*0.06)</f>
        <v>7.9726161599999994</v>
      </c>
    </row>
    <row r="62" spans="1:17" x14ac:dyDescent="0.25">
      <c r="A62">
        <v>1659</v>
      </c>
      <c r="B62" t="s">
        <v>370</v>
      </c>
      <c r="C62" t="s">
        <v>379</v>
      </c>
      <c r="D62" t="s">
        <v>372</v>
      </c>
      <c r="E62" t="s">
        <v>380</v>
      </c>
      <c r="F62" t="s">
        <v>417</v>
      </c>
      <c r="H62" s="45">
        <v>9.1259999999999994</v>
      </c>
      <c r="I62" s="35">
        <f>Tabela1[[#This Row],[Preco 3%]]+(Tabela1[[#This Row],[Preco 3%]]*0.06)</f>
        <v>9.6735600000000002</v>
      </c>
      <c r="J62" s="37">
        <f>Tabela1[[#This Row],[Preco 3%]]+(Tabela1[[#This Row],[Preco 3%]]*0.1)</f>
        <v>10.038599999999999</v>
      </c>
      <c r="K62" s="37">
        <f>Tabela1[[#This Row],[Região01 3%]]+(Tabela1[[#This Row],[Região01 3%]]*0.06)</f>
        <v>10.640915999999999</v>
      </c>
      <c r="L62" s="39">
        <f>Tabela1[[#This Row],[Preco 3%]]+(Tabela1[[#This Row],[Preco 3%]]*0.05)</f>
        <v>9.5823</v>
      </c>
      <c r="M62" s="39">
        <f>Tabela1[[#This Row],[Região02 3%]]+(Tabela1[[#This Row],[Região02 3%]]*0.06)</f>
        <v>10.157238</v>
      </c>
      <c r="N62" s="38">
        <f>Tabela1[[#This Row],[Preco 3%]]+(Tabela1[[#This Row],[Preco 3%]]*0.08)</f>
        <v>9.8560799999999986</v>
      </c>
      <c r="O62" s="38">
        <f>Tabela1[[#This Row],[Região03 3%]]+(Tabela1[[#This Row],[Região03 3%]]*0.06)</f>
        <v>10.447444799999998</v>
      </c>
      <c r="P62" s="40">
        <f>Tabela1[[#This Row],[Preco 3%]]+(Tabela1[[#This Row],[Preco 3%]]*0.06)</f>
        <v>9.6735600000000002</v>
      </c>
      <c r="Q62" s="40">
        <f>Tabela1[[#This Row],[Região04 3%]]+(Tabela1[[#This Row],[Região04 3%]]*0.06)</f>
        <v>10.2539736</v>
      </c>
    </row>
    <row r="63" spans="1:17" x14ac:dyDescent="0.25">
      <c r="A63">
        <v>1660</v>
      </c>
      <c r="B63" t="s">
        <v>370</v>
      </c>
      <c r="C63" t="s">
        <v>381</v>
      </c>
      <c r="D63" t="s">
        <v>372</v>
      </c>
      <c r="E63" t="s">
        <v>424</v>
      </c>
      <c r="F63" t="s">
        <v>417</v>
      </c>
      <c r="H63" s="45">
        <v>13.586399999999999</v>
      </c>
      <c r="I63" s="35">
        <f>Tabela1[[#This Row],[Preco 3%]]+(Tabela1[[#This Row],[Preco 3%]]*0.06)</f>
        <v>14.401584</v>
      </c>
      <c r="J63" s="37">
        <f>Tabela1[[#This Row],[Preco 3%]]+(Tabela1[[#This Row],[Preco 3%]]*0.1)</f>
        <v>14.945039999999999</v>
      </c>
      <c r="K63" s="37">
        <f>Tabela1[[#This Row],[Região01 3%]]+(Tabela1[[#This Row],[Região01 3%]]*0.06)</f>
        <v>15.841742399999999</v>
      </c>
      <c r="L63" s="39">
        <f>Tabela1[[#This Row],[Preco 3%]]+(Tabela1[[#This Row],[Preco 3%]]*0.05)</f>
        <v>14.26572</v>
      </c>
      <c r="M63" s="39">
        <f>Tabela1[[#This Row],[Região02 3%]]+(Tabela1[[#This Row],[Região02 3%]]*0.06)</f>
        <v>15.1216632</v>
      </c>
      <c r="N63" s="38">
        <f>Tabela1[[#This Row],[Preco 3%]]+(Tabela1[[#This Row],[Preco 3%]]*0.08)</f>
        <v>14.673311999999999</v>
      </c>
      <c r="O63" s="38">
        <f>Tabela1[[#This Row],[Região03 3%]]+(Tabela1[[#This Row],[Região03 3%]]*0.06)</f>
        <v>15.55371072</v>
      </c>
      <c r="P63" s="40">
        <f>Tabela1[[#This Row],[Preco 3%]]+(Tabela1[[#This Row],[Preco 3%]]*0.06)</f>
        <v>14.401584</v>
      </c>
      <c r="Q63" s="40">
        <f>Tabela1[[#This Row],[Região04 3%]]+(Tabela1[[#This Row],[Região04 3%]]*0.06)</f>
        <v>15.26567904</v>
      </c>
    </row>
    <row r="64" spans="1:17" x14ac:dyDescent="0.25">
      <c r="A64">
        <v>1661</v>
      </c>
      <c r="B64" t="s">
        <v>370</v>
      </c>
      <c r="C64" t="s">
        <v>385</v>
      </c>
      <c r="D64" t="s">
        <v>372</v>
      </c>
      <c r="E64" t="s">
        <v>378</v>
      </c>
      <c r="F64" t="s">
        <v>417</v>
      </c>
      <c r="H64" s="45">
        <v>6.9228000000000005</v>
      </c>
      <c r="I64" s="35">
        <f>Tabela1[[#This Row],[Preco 3%]]+(Tabela1[[#This Row],[Preco 3%]]*0.06)</f>
        <v>7.3381680000000005</v>
      </c>
      <c r="J64" s="37">
        <f>Tabela1[[#This Row],[Preco 3%]]+(Tabela1[[#This Row],[Preco 3%]]*0.1)</f>
        <v>7.6150800000000007</v>
      </c>
      <c r="K64" s="37">
        <f>Tabela1[[#This Row],[Região01 3%]]+(Tabela1[[#This Row],[Região01 3%]]*0.06)</f>
        <v>8.071984800000001</v>
      </c>
      <c r="L64" s="39">
        <f>Tabela1[[#This Row],[Preco 3%]]+(Tabela1[[#This Row],[Preco 3%]]*0.05)</f>
        <v>7.2689400000000006</v>
      </c>
      <c r="M64" s="39">
        <f>Tabela1[[#This Row],[Região02 3%]]+(Tabela1[[#This Row],[Região02 3%]]*0.06)</f>
        <v>7.7050764000000003</v>
      </c>
      <c r="N64" s="38">
        <f>Tabela1[[#This Row],[Preco 3%]]+(Tabela1[[#This Row],[Preco 3%]]*0.08)</f>
        <v>7.476624000000001</v>
      </c>
      <c r="O64" s="38">
        <f>Tabela1[[#This Row],[Região03 3%]]+(Tabela1[[#This Row],[Região03 3%]]*0.06)</f>
        <v>7.9252214400000014</v>
      </c>
      <c r="P64" s="40">
        <f>Tabela1[[#This Row],[Preco 3%]]+(Tabela1[[#This Row],[Preco 3%]]*0.06)</f>
        <v>7.3381680000000005</v>
      </c>
      <c r="Q64" s="40">
        <f>Tabela1[[#This Row],[Região04 3%]]+(Tabela1[[#This Row],[Região04 3%]]*0.06)</f>
        <v>7.7784580800000001</v>
      </c>
    </row>
    <row r="65" spans="1:17" x14ac:dyDescent="0.25">
      <c r="A65">
        <v>1662</v>
      </c>
      <c r="B65" t="s">
        <v>370</v>
      </c>
      <c r="C65" t="s">
        <v>387</v>
      </c>
      <c r="D65" t="s">
        <v>372</v>
      </c>
      <c r="E65" t="s">
        <v>423</v>
      </c>
      <c r="F65" t="s">
        <v>417</v>
      </c>
      <c r="H65" s="45">
        <v>8.5535999999999994</v>
      </c>
      <c r="I65" s="35">
        <f>Tabela1[[#This Row],[Preco 3%]]+(Tabela1[[#This Row],[Preco 3%]]*0.06)</f>
        <v>9.0668159999999993</v>
      </c>
      <c r="J65" s="37">
        <f>Tabela1[[#This Row],[Preco 3%]]+(Tabela1[[#This Row],[Preco 3%]]*0.1)</f>
        <v>9.4089599999999987</v>
      </c>
      <c r="K65" s="37">
        <f>Tabela1[[#This Row],[Região01 3%]]+(Tabela1[[#This Row],[Região01 3%]]*0.06)</f>
        <v>9.9734975999999982</v>
      </c>
      <c r="L65" s="39">
        <f>Tabela1[[#This Row],[Preco 3%]]+(Tabela1[[#This Row],[Preco 3%]]*0.05)</f>
        <v>8.9812799999999999</v>
      </c>
      <c r="M65" s="39">
        <f>Tabela1[[#This Row],[Região02 3%]]+(Tabela1[[#This Row],[Região02 3%]]*0.06)</f>
        <v>9.5201568000000005</v>
      </c>
      <c r="N65" s="38">
        <f>Tabela1[[#This Row],[Preco 3%]]+(Tabela1[[#This Row],[Preco 3%]]*0.08)</f>
        <v>9.2378879999999999</v>
      </c>
      <c r="O65" s="38">
        <f>Tabela1[[#This Row],[Região03 3%]]+(Tabela1[[#This Row],[Região03 3%]]*0.06)</f>
        <v>9.7921612800000002</v>
      </c>
      <c r="P65" s="40">
        <f>Tabela1[[#This Row],[Preco 3%]]+(Tabela1[[#This Row],[Preco 3%]]*0.06)</f>
        <v>9.0668159999999993</v>
      </c>
      <c r="Q65" s="40">
        <f>Tabela1[[#This Row],[Região04 3%]]+(Tabela1[[#This Row],[Região04 3%]]*0.06)</f>
        <v>9.6108249599999986</v>
      </c>
    </row>
    <row r="66" spans="1:17" x14ac:dyDescent="0.25">
      <c r="A66">
        <v>1663</v>
      </c>
      <c r="B66" t="s">
        <v>370</v>
      </c>
      <c r="C66" t="s">
        <v>388</v>
      </c>
      <c r="D66" t="s">
        <v>372</v>
      </c>
      <c r="E66" t="s">
        <v>380</v>
      </c>
      <c r="F66" t="s">
        <v>417</v>
      </c>
      <c r="H66" s="45">
        <v>10.119599999999998</v>
      </c>
      <c r="I66" s="35">
        <f>Tabela1[[#This Row],[Preco 3%]]+(Tabela1[[#This Row],[Preco 3%]]*0.06)</f>
        <v>10.726775999999997</v>
      </c>
      <c r="J66" s="37">
        <f>Tabela1[[#This Row],[Preco 3%]]+(Tabela1[[#This Row],[Preco 3%]]*0.1)</f>
        <v>11.131559999999999</v>
      </c>
      <c r="K66" s="37">
        <f>Tabela1[[#This Row],[Região01 3%]]+(Tabela1[[#This Row],[Região01 3%]]*0.06)</f>
        <v>11.799453599999998</v>
      </c>
      <c r="L66" s="39">
        <f>Tabela1[[#This Row],[Preco 3%]]+(Tabela1[[#This Row],[Preco 3%]]*0.05)</f>
        <v>10.625579999999998</v>
      </c>
      <c r="M66" s="39">
        <f>Tabela1[[#This Row],[Região02 3%]]+(Tabela1[[#This Row],[Região02 3%]]*0.06)</f>
        <v>11.263114799999997</v>
      </c>
      <c r="N66" s="38">
        <f>Tabela1[[#This Row],[Preco 3%]]+(Tabela1[[#This Row],[Preco 3%]]*0.08)</f>
        <v>10.929167999999999</v>
      </c>
      <c r="O66" s="38">
        <f>Tabela1[[#This Row],[Região03 3%]]+(Tabela1[[#This Row],[Região03 3%]]*0.06)</f>
        <v>11.58491808</v>
      </c>
      <c r="P66" s="40">
        <f>Tabela1[[#This Row],[Preco 3%]]+(Tabela1[[#This Row],[Preco 3%]]*0.06)</f>
        <v>10.726775999999997</v>
      </c>
      <c r="Q66" s="40">
        <f>Tabela1[[#This Row],[Região04 3%]]+(Tabela1[[#This Row],[Região04 3%]]*0.06)</f>
        <v>11.370382559999998</v>
      </c>
    </row>
    <row r="67" spans="1:17" ht="14.25" customHeight="1" x14ac:dyDescent="0.25">
      <c r="A67">
        <v>1664</v>
      </c>
      <c r="B67" t="s">
        <v>370</v>
      </c>
      <c r="C67" t="s">
        <v>390</v>
      </c>
      <c r="D67" t="s">
        <v>372</v>
      </c>
      <c r="E67" t="s">
        <v>391</v>
      </c>
      <c r="F67" t="s">
        <v>417</v>
      </c>
      <c r="H67" s="45">
        <v>12.9924</v>
      </c>
      <c r="I67" s="35">
        <f>Tabela1[[#This Row],[Preco 3%]]+(Tabela1[[#This Row],[Preco 3%]]*0.06)</f>
        <v>13.771944</v>
      </c>
      <c r="J67" s="37">
        <f>Tabela1[[#This Row],[Preco 3%]]+(Tabela1[[#This Row],[Preco 3%]]*0.1)</f>
        <v>14.291640000000001</v>
      </c>
      <c r="K67" s="37">
        <f>Tabela1[[#This Row],[Região01 3%]]+(Tabela1[[#This Row],[Região01 3%]]*0.06)</f>
        <v>15.149138400000002</v>
      </c>
      <c r="L67" s="39">
        <f>Tabela1[[#This Row],[Preco 3%]]+(Tabela1[[#This Row],[Preco 3%]]*0.05)</f>
        <v>13.64202</v>
      </c>
      <c r="M67" s="39">
        <f>Tabela1[[#This Row],[Região02 3%]]+(Tabela1[[#This Row],[Região02 3%]]*0.06)</f>
        <v>14.4605412</v>
      </c>
      <c r="N67" s="38">
        <f>Tabela1[[#This Row],[Preco 3%]]+(Tabela1[[#This Row],[Preco 3%]]*0.08)</f>
        <v>14.031791999999999</v>
      </c>
      <c r="O67" s="38">
        <f>Tabela1[[#This Row],[Região03 3%]]+(Tabela1[[#This Row],[Região03 3%]]*0.06)</f>
        <v>14.873699519999999</v>
      </c>
      <c r="P67" s="40">
        <f>Tabela1[[#This Row],[Preco 3%]]+(Tabela1[[#This Row],[Preco 3%]]*0.06)</f>
        <v>13.771944</v>
      </c>
      <c r="Q67" s="40">
        <f>Tabela1[[#This Row],[Região04 3%]]+(Tabela1[[#This Row],[Região04 3%]]*0.06)</f>
        <v>14.598260639999999</v>
      </c>
    </row>
    <row r="68" spans="1:17" x14ac:dyDescent="0.25">
      <c r="A68">
        <v>1665</v>
      </c>
      <c r="B68" t="s">
        <v>370</v>
      </c>
      <c r="C68" t="s">
        <v>392</v>
      </c>
      <c r="D68" t="s">
        <v>372</v>
      </c>
      <c r="E68" t="s">
        <v>426</v>
      </c>
      <c r="F68" t="s">
        <v>417</v>
      </c>
      <c r="H68" s="45">
        <v>18.7272</v>
      </c>
      <c r="I68" s="35">
        <f>Tabela1[[#This Row],[Preco 3%]]+(Tabela1[[#This Row],[Preco 3%]]*0.06)</f>
        <v>19.850832</v>
      </c>
      <c r="J68" s="37">
        <f>Tabela1[[#This Row],[Preco 3%]]+(Tabela1[[#This Row],[Preco 3%]]*0.1)</f>
        <v>20.599920000000001</v>
      </c>
      <c r="K68" s="37">
        <f>Tabela1[[#This Row],[Região01 3%]]+(Tabela1[[#This Row],[Região01 3%]]*0.06)</f>
        <v>21.835915200000002</v>
      </c>
      <c r="L68" s="39">
        <f>Tabela1[[#This Row],[Preco 3%]]+(Tabela1[[#This Row],[Preco 3%]]*0.05)</f>
        <v>19.66356</v>
      </c>
      <c r="M68" s="39">
        <f>Tabela1[[#This Row],[Região02 3%]]+(Tabela1[[#This Row],[Região02 3%]]*0.06)</f>
        <v>20.8433736</v>
      </c>
      <c r="N68" s="38">
        <f>Tabela1[[#This Row],[Preco 3%]]+(Tabela1[[#This Row],[Preco 3%]]*0.08)</f>
        <v>20.225376000000001</v>
      </c>
      <c r="O68" s="38">
        <f>Tabela1[[#This Row],[Região03 3%]]+(Tabela1[[#This Row],[Região03 3%]]*0.06)</f>
        <v>21.438898560000002</v>
      </c>
      <c r="P68" s="40">
        <f>Tabela1[[#This Row],[Preco 3%]]+(Tabela1[[#This Row],[Preco 3%]]*0.06)</f>
        <v>19.850832</v>
      </c>
      <c r="Q68" s="40">
        <f>Tabela1[[#This Row],[Região04 3%]]+(Tabela1[[#This Row],[Região04 3%]]*0.06)</f>
        <v>21.041881920000002</v>
      </c>
    </row>
    <row r="69" spans="1:17" x14ac:dyDescent="0.25">
      <c r="A69">
        <v>1787</v>
      </c>
      <c r="B69" t="s">
        <v>370</v>
      </c>
      <c r="C69" t="s">
        <v>371</v>
      </c>
      <c r="D69" t="s">
        <v>372</v>
      </c>
      <c r="E69" t="s">
        <v>373</v>
      </c>
      <c r="F69" t="s">
        <v>417</v>
      </c>
      <c r="H69" s="45">
        <v>4.6115999999999993</v>
      </c>
      <c r="I69" s="35">
        <f>Tabela1[[#This Row],[Preco 3%]]+(Tabela1[[#This Row],[Preco 3%]]*0.06)</f>
        <v>4.8882959999999995</v>
      </c>
      <c r="J69" s="37">
        <f>Tabela1[[#This Row],[Preco 3%]]+(Tabela1[[#This Row],[Preco 3%]]*0.1)</f>
        <v>5.0727599999999988</v>
      </c>
      <c r="K69" s="37">
        <f>Tabela1[[#This Row],[Região01 3%]]+(Tabela1[[#This Row],[Região01 3%]]*0.06)</f>
        <v>5.3771255999999985</v>
      </c>
      <c r="L69" s="39">
        <f>Tabela1[[#This Row],[Preco 3%]]+(Tabela1[[#This Row],[Preco 3%]]*0.05)</f>
        <v>4.842179999999999</v>
      </c>
      <c r="M69" s="39">
        <f>Tabela1[[#This Row],[Região02 3%]]+(Tabela1[[#This Row],[Região02 3%]]*0.06)</f>
        <v>5.132710799999999</v>
      </c>
      <c r="N69" s="38">
        <f>Tabela1[[#This Row],[Preco 3%]]+(Tabela1[[#This Row],[Preco 3%]]*0.08)</f>
        <v>4.9805279999999996</v>
      </c>
      <c r="O69" s="38">
        <f>Tabela1[[#This Row],[Região03 3%]]+(Tabela1[[#This Row],[Região03 3%]]*0.06)</f>
        <v>5.2793596799999998</v>
      </c>
      <c r="P69" s="40">
        <f>Tabela1[[#This Row],[Preco 3%]]+(Tabela1[[#This Row],[Preco 3%]]*0.06)</f>
        <v>4.8882959999999995</v>
      </c>
      <c r="Q69" s="40">
        <f>Tabela1[[#This Row],[Região04 3%]]+(Tabela1[[#This Row],[Região04 3%]]*0.06)</f>
        <v>5.1815937599999993</v>
      </c>
    </row>
    <row r="70" spans="1:17" x14ac:dyDescent="0.25">
      <c r="A70">
        <v>1797</v>
      </c>
      <c r="B70" t="s">
        <v>366</v>
      </c>
      <c r="C70" t="s">
        <v>365</v>
      </c>
      <c r="E70">
        <v>12</v>
      </c>
      <c r="F70" t="s">
        <v>4</v>
      </c>
      <c r="H70" s="42">
        <v>48.5</v>
      </c>
      <c r="I70" s="35">
        <f>Tabela1[[#This Row],[Preco 3%]]+(Tabela1[[#This Row],[Preco 3%]]*0.06)</f>
        <v>51.41</v>
      </c>
      <c r="J70" s="37">
        <f>Tabela1[[#This Row],[Preco 3%]]+(Tabela1[[#This Row],[Preco 3%]]*0.1)</f>
        <v>53.35</v>
      </c>
      <c r="K70" s="37">
        <f>Tabela1[[#This Row],[Região01 3%]]+(Tabela1[[#This Row],[Região01 3%]]*0.06)</f>
        <v>56.551000000000002</v>
      </c>
      <c r="L70" s="39">
        <f>Tabela1[[#This Row],[Preco 3%]]+(Tabela1[[#This Row],[Preco 3%]]*0.05)</f>
        <v>50.924999999999997</v>
      </c>
      <c r="M70" s="39">
        <f>Tabela1[[#This Row],[Região02 3%]]+(Tabela1[[#This Row],[Região02 3%]]*0.06)</f>
        <v>53.980499999999999</v>
      </c>
      <c r="N70" s="38">
        <f>Tabela1[[#This Row],[Preco 3%]]+(Tabela1[[#This Row],[Preco 3%]]*0.08)</f>
        <v>52.38</v>
      </c>
      <c r="O70" s="38">
        <f>Tabela1[[#This Row],[Região03 3%]]+(Tabela1[[#This Row],[Região03 3%]]*0.06)</f>
        <v>55.522800000000004</v>
      </c>
      <c r="P70" s="40">
        <f>Tabela1[[#This Row],[Preco 3%]]+(Tabela1[[#This Row],[Preco 3%]]*0.06)</f>
        <v>51.41</v>
      </c>
      <c r="Q70" s="40">
        <f>Tabela1[[#This Row],[Região04 3%]]+(Tabela1[[#This Row],[Região04 3%]]*0.06)</f>
        <v>54.494599999999998</v>
      </c>
    </row>
    <row r="71" spans="1:17" x14ac:dyDescent="0.25">
      <c r="A71">
        <v>1957</v>
      </c>
      <c r="B71" t="s">
        <v>343</v>
      </c>
      <c r="C71" t="s">
        <v>410</v>
      </c>
      <c r="D71" t="s">
        <v>345</v>
      </c>
      <c r="F71" t="s">
        <v>411</v>
      </c>
      <c r="G71" t="s">
        <v>403</v>
      </c>
      <c r="H71" s="41">
        <v>27.88</v>
      </c>
      <c r="I71" s="35">
        <f>Tabela1[[#This Row],[Preco 3%]]+(Tabela1[[#This Row],[Preco 3%]]*0.06)</f>
        <v>29.552799999999998</v>
      </c>
      <c r="J71" s="37">
        <f>Tabela1[[#This Row],[Preco 3%]]+(Tabela1[[#This Row],[Preco 3%]]*0.1)</f>
        <v>30.667999999999999</v>
      </c>
      <c r="K71" s="37">
        <f>Tabela1[[#This Row],[Região01 3%]]+(Tabela1[[#This Row],[Região01 3%]]*0.06)</f>
        <v>32.50808</v>
      </c>
      <c r="L71" s="39">
        <f>Tabela1[[#This Row],[Preco 3%]]+(Tabela1[[#This Row],[Preco 3%]]*0.05)</f>
        <v>29.274000000000001</v>
      </c>
      <c r="M71" s="39">
        <f>Tabela1[[#This Row],[Região02 3%]]+(Tabela1[[#This Row],[Região02 3%]]*0.06)</f>
        <v>31.030440000000002</v>
      </c>
      <c r="N71" s="38">
        <f>Tabela1[[#This Row],[Preco 3%]]+(Tabela1[[#This Row],[Preco 3%]]*0.08)</f>
        <v>30.110399999999998</v>
      </c>
      <c r="O71" s="38">
        <f>Tabela1[[#This Row],[Região03 3%]]+(Tabela1[[#This Row],[Região03 3%]]*0.06)</f>
        <v>31.917023999999998</v>
      </c>
      <c r="P71" s="40">
        <f>Tabela1[[#This Row],[Preco 3%]]+(Tabela1[[#This Row],[Preco 3%]]*0.06)</f>
        <v>29.552799999999998</v>
      </c>
      <c r="Q71" s="40">
        <f>Tabela1[[#This Row],[Região04 3%]]+(Tabela1[[#This Row],[Região04 3%]]*0.06)</f>
        <v>31.325967999999996</v>
      </c>
    </row>
    <row r="72" spans="1:17" x14ac:dyDescent="0.25">
      <c r="A72">
        <v>1958</v>
      </c>
      <c r="B72" t="s">
        <v>343</v>
      </c>
      <c r="C72" t="s">
        <v>410</v>
      </c>
      <c r="D72" t="s">
        <v>347</v>
      </c>
      <c r="F72" t="s">
        <v>411</v>
      </c>
      <c r="G72" t="s">
        <v>403</v>
      </c>
      <c r="H72" s="41">
        <v>28.67</v>
      </c>
      <c r="I72" s="35">
        <f>Tabela1[[#This Row],[Preco 3%]]+(Tabela1[[#This Row],[Preco 3%]]*0.06)</f>
        <v>30.3902</v>
      </c>
      <c r="J72" s="37">
        <f>Tabela1[[#This Row],[Preco 3%]]+(Tabela1[[#This Row],[Preco 3%]]*0.1)</f>
        <v>31.537000000000003</v>
      </c>
      <c r="K72" s="37">
        <f>Tabela1[[#This Row],[Região01 3%]]+(Tabela1[[#This Row],[Região01 3%]]*0.06)</f>
        <v>33.429220000000001</v>
      </c>
      <c r="L72" s="39">
        <f>Tabela1[[#This Row],[Preco 3%]]+(Tabela1[[#This Row],[Preco 3%]]*0.05)</f>
        <v>30.1035</v>
      </c>
      <c r="M72" s="39">
        <f>Tabela1[[#This Row],[Região02 3%]]+(Tabela1[[#This Row],[Região02 3%]]*0.06)</f>
        <v>31.90971</v>
      </c>
      <c r="N72" s="38">
        <f>Tabela1[[#This Row],[Preco 3%]]+(Tabela1[[#This Row],[Preco 3%]]*0.08)</f>
        <v>30.963600000000003</v>
      </c>
      <c r="O72" s="38">
        <f>Tabela1[[#This Row],[Região03 3%]]+(Tabela1[[#This Row],[Região03 3%]]*0.06)</f>
        <v>32.821416000000006</v>
      </c>
      <c r="P72" s="40">
        <f>Tabela1[[#This Row],[Preco 3%]]+(Tabela1[[#This Row],[Preco 3%]]*0.06)</f>
        <v>30.3902</v>
      </c>
      <c r="Q72" s="40">
        <f>Tabela1[[#This Row],[Região04 3%]]+(Tabela1[[#This Row],[Região04 3%]]*0.06)</f>
        <v>32.213611999999998</v>
      </c>
    </row>
    <row r="73" spans="1:17" x14ac:dyDescent="0.25">
      <c r="A73">
        <v>1959</v>
      </c>
      <c r="B73" t="s">
        <v>343</v>
      </c>
      <c r="C73" t="s">
        <v>410</v>
      </c>
      <c r="D73" t="s">
        <v>349</v>
      </c>
      <c r="F73" t="s">
        <v>411</v>
      </c>
      <c r="G73" t="s">
        <v>403</v>
      </c>
      <c r="H73" s="41">
        <v>30.77</v>
      </c>
      <c r="I73" s="35">
        <f>Tabela1[[#This Row],[Preco 3%]]+(Tabela1[[#This Row],[Preco 3%]]*0.06)</f>
        <v>32.616199999999999</v>
      </c>
      <c r="J73" s="37">
        <f>Tabela1[[#This Row],[Preco 3%]]+(Tabela1[[#This Row],[Preco 3%]]*0.1)</f>
        <v>33.847000000000001</v>
      </c>
      <c r="K73" s="37">
        <f>Tabela1[[#This Row],[Região01 3%]]+(Tabela1[[#This Row],[Região01 3%]]*0.06)</f>
        <v>35.87782</v>
      </c>
      <c r="L73" s="39">
        <f>Tabela1[[#This Row],[Preco 3%]]+(Tabela1[[#This Row],[Preco 3%]]*0.05)</f>
        <v>32.308500000000002</v>
      </c>
      <c r="M73" s="39">
        <f>Tabela1[[#This Row],[Região02 3%]]+(Tabela1[[#This Row],[Região02 3%]]*0.06)</f>
        <v>34.247010000000003</v>
      </c>
      <c r="N73" s="38">
        <f>Tabela1[[#This Row],[Preco 3%]]+(Tabela1[[#This Row],[Preco 3%]]*0.08)</f>
        <v>33.2316</v>
      </c>
      <c r="O73" s="38">
        <f>Tabela1[[#This Row],[Região03 3%]]+(Tabela1[[#This Row],[Região03 3%]]*0.06)</f>
        <v>35.225496</v>
      </c>
      <c r="P73" s="40">
        <f>Tabela1[[#This Row],[Preco 3%]]+(Tabela1[[#This Row],[Preco 3%]]*0.06)</f>
        <v>32.616199999999999</v>
      </c>
      <c r="Q73" s="40">
        <f>Tabela1[[#This Row],[Região04 3%]]+(Tabela1[[#This Row],[Região04 3%]]*0.06)</f>
        <v>34.573172</v>
      </c>
    </row>
    <row r="74" spans="1:17" x14ac:dyDescent="0.25">
      <c r="A74">
        <v>1960</v>
      </c>
      <c r="B74" t="s">
        <v>353</v>
      </c>
      <c r="C74" t="s">
        <v>412</v>
      </c>
      <c r="D74" t="s">
        <v>345</v>
      </c>
      <c r="F74" t="s">
        <v>411</v>
      </c>
      <c r="G74" t="s">
        <v>413</v>
      </c>
      <c r="H74" s="41">
        <v>94.88</v>
      </c>
      <c r="I74" s="35">
        <f>Tabela1[[#This Row],[Preco 3%]]+(Tabela1[[#This Row],[Preco 3%]]*0.06)</f>
        <v>100.5728</v>
      </c>
      <c r="J74" s="37">
        <f>Tabela1[[#This Row],[Preco 3%]]+(Tabela1[[#This Row],[Preco 3%]]*0.1)</f>
        <v>104.36799999999999</v>
      </c>
      <c r="K74" s="37">
        <f>Tabela1[[#This Row],[Região01 3%]]+(Tabela1[[#This Row],[Região01 3%]]*0.06)</f>
        <v>110.63007999999999</v>
      </c>
      <c r="L74" s="39">
        <f>Tabela1[[#This Row],[Preco 3%]]+(Tabela1[[#This Row],[Preco 3%]]*0.05)</f>
        <v>99.623999999999995</v>
      </c>
      <c r="M74" s="39">
        <f>Tabela1[[#This Row],[Região02 3%]]+(Tabela1[[#This Row],[Região02 3%]]*0.06)</f>
        <v>105.60144</v>
      </c>
      <c r="N74" s="38">
        <f>Tabela1[[#This Row],[Preco 3%]]+(Tabela1[[#This Row],[Preco 3%]]*0.08)</f>
        <v>102.4704</v>
      </c>
      <c r="O74" s="38">
        <f>Tabela1[[#This Row],[Região03 3%]]+(Tabela1[[#This Row],[Região03 3%]]*0.06)</f>
        <v>108.618624</v>
      </c>
      <c r="P74" s="40">
        <f>Tabela1[[#This Row],[Preco 3%]]+(Tabela1[[#This Row],[Preco 3%]]*0.06)</f>
        <v>100.5728</v>
      </c>
      <c r="Q74" s="40">
        <f>Tabela1[[#This Row],[Região04 3%]]+(Tabela1[[#This Row],[Região04 3%]]*0.06)</f>
        <v>106.607168</v>
      </c>
    </row>
    <row r="75" spans="1:17" x14ac:dyDescent="0.25">
      <c r="A75">
        <v>1961</v>
      </c>
      <c r="B75" t="s">
        <v>353</v>
      </c>
      <c r="C75" t="s">
        <v>412</v>
      </c>
      <c r="D75" t="s">
        <v>347</v>
      </c>
      <c r="F75" t="s">
        <v>411</v>
      </c>
      <c r="G75" t="s">
        <v>414</v>
      </c>
      <c r="H75" s="41">
        <v>98.7</v>
      </c>
      <c r="I75" s="35">
        <f>Tabela1[[#This Row],[Preco 3%]]+(Tabela1[[#This Row],[Preco 3%]]*0.06)</f>
        <v>104.622</v>
      </c>
      <c r="J75" s="37">
        <f>Tabela1[[#This Row],[Preco 3%]]+(Tabela1[[#This Row],[Preco 3%]]*0.1)</f>
        <v>108.57000000000001</v>
      </c>
      <c r="K75" s="37">
        <f>Tabela1[[#This Row],[Região01 3%]]+(Tabela1[[#This Row],[Região01 3%]]*0.06)</f>
        <v>115.08420000000001</v>
      </c>
      <c r="L75" s="39">
        <f>Tabela1[[#This Row],[Preco 3%]]+(Tabela1[[#This Row],[Preco 3%]]*0.05)</f>
        <v>103.63500000000001</v>
      </c>
      <c r="M75" s="39">
        <f>Tabela1[[#This Row],[Região02 3%]]+(Tabela1[[#This Row],[Região02 3%]]*0.06)</f>
        <v>109.85310000000001</v>
      </c>
      <c r="N75" s="38">
        <f>Tabela1[[#This Row],[Preco 3%]]+(Tabela1[[#This Row],[Preco 3%]]*0.08)</f>
        <v>106.596</v>
      </c>
      <c r="O75" s="38">
        <f>Tabela1[[#This Row],[Região03 3%]]+(Tabela1[[#This Row],[Região03 3%]]*0.06)</f>
        <v>112.99176</v>
      </c>
      <c r="P75" s="40">
        <f>Tabela1[[#This Row],[Preco 3%]]+(Tabela1[[#This Row],[Preco 3%]]*0.06)</f>
        <v>104.622</v>
      </c>
      <c r="Q75" s="40">
        <f>Tabela1[[#This Row],[Região04 3%]]+(Tabela1[[#This Row],[Região04 3%]]*0.06)</f>
        <v>110.89932</v>
      </c>
    </row>
    <row r="76" spans="1:17" x14ac:dyDescent="0.25">
      <c r="A76">
        <v>1962</v>
      </c>
      <c r="B76" t="s">
        <v>353</v>
      </c>
      <c r="C76" t="s">
        <v>412</v>
      </c>
      <c r="D76" t="s">
        <v>349</v>
      </c>
      <c r="F76" t="s">
        <v>411</v>
      </c>
      <c r="G76" t="s">
        <v>415</v>
      </c>
      <c r="H76" s="41">
        <v>107.44</v>
      </c>
      <c r="I76" s="35">
        <f>Tabela1[[#This Row],[Preco 3%]]+(Tabela1[[#This Row],[Preco 3%]]*0.06)</f>
        <v>113.88639999999999</v>
      </c>
      <c r="J76" s="37">
        <f>Tabela1[[#This Row],[Preco 3%]]+(Tabela1[[#This Row],[Preco 3%]]*0.1)</f>
        <v>118.184</v>
      </c>
      <c r="K76" s="37">
        <f>Tabela1[[#This Row],[Região01 3%]]+(Tabela1[[#This Row],[Região01 3%]]*0.06)</f>
        <v>125.27503999999999</v>
      </c>
      <c r="L76" s="39">
        <f>Tabela1[[#This Row],[Preco 3%]]+(Tabela1[[#This Row],[Preco 3%]]*0.05)</f>
        <v>112.812</v>
      </c>
      <c r="M76" s="39">
        <f>Tabela1[[#This Row],[Região02 3%]]+(Tabela1[[#This Row],[Região02 3%]]*0.06)</f>
        <v>119.58072</v>
      </c>
      <c r="N76" s="38">
        <f>Tabela1[[#This Row],[Preco 3%]]+(Tabela1[[#This Row],[Preco 3%]]*0.08)</f>
        <v>116.0352</v>
      </c>
      <c r="O76" s="38">
        <f>Tabela1[[#This Row],[Região03 3%]]+(Tabela1[[#This Row],[Região03 3%]]*0.06)</f>
        <v>122.99731200000001</v>
      </c>
      <c r="P76" s="40">
        <f>Tabela1[[#This Row],[Preco 3%]]+(Tabela1[[#This Row],[Preco 3%]]*0.06)</f>
        <v>113.88639999999999</v>
      </c>
      <c r="Q76" s="40">
        <f>Tabela1[[#This Row],[Região04 3%]]+(Tabela1[[#This Row],[Região04 3%]]*0.06)</f>
        <v>120.719584</v>
      </c>
    </row>
    <row r="77" spans="1:17" x14ac:dyDescent="0.25">
      <c r="A77">
        <v>1963</v>
      </c>
      <c r="B77" t="s">
        <v>394</v>
      </c>
      <c r="C77" t="s">
        <v>374</v>
      </c>
      <c r="D77" t="s">
        <v>372</v>
      </c>
      <c r="E77" t="s">
        <v>386</v>
      </c>
      <c r="F77" t="s">
        <v>417</v>
      </c>
      <c r="H77" s="45">
        <v>4.8600000000000003</v>
      </c>
      <c r="I77" s="35">
        <f>Tabela1[[#This Row],[Preco 3%]]+(Tabela1[[#This Row],[Preco 3%]]*0.06)</f>
        <v>5.1516000000000002</v>
      </c>
      <c r="J77" s="37">
        <f>Tabela1[[#This Row],[Preco 3%]]+(Tabela1[[#This Row],[Preco 3%]]*0.1)</f>
        <v>5.3460000000000001</v>
      </c>
      <c r="K77" s="37">
        <f>Tabela1[[#This Row],[Região01 3%]]+(Tabela1[[#This Row],[Região01 3%]]*0.06)</f>
        <v>5.66676</v>
      </c>
      <c r="L77" s="39">
        <f>Tabela1[[#This Row],[Preco 3%]]+(Tabela1[[#This Row],[Preco 3%]]*0.05)</f>
        <v>5.1030000000000006</v>
      </c>
      <c r="M77" s="39">
        <f>Tabela1[[#This Row],[Região02 3%]]+(Tabela1[[#This Row],[Região02 3%]]*0.06)</f>
        <v>5.409180000000001</v>
      </c>
      <c r="N77" s="38">
        <f>Tabela1[[#This Row],[Preco 3%]]+(Tabela1[[#This Row],[Preco 3%]]*0.08)</f>
        <v>5.2488000000000001</v>
      </c>
      <c r="O77" s="38">
        <f>Tabela1[[#This Row],[Região03 3%]]+(Tabela1[[#This Row],[Região03 3%]]*0.06)</f>
        <v>5.5637280000000002</v>
      </c>
      <c r="P77" s="40">
        <f>Tabela1[[#This Row],[Preco 3%]]+(Tabela1[[#This Row],[Preco 3%]]*0.06)</f>
        <v>5.1516000000000002</v>
      </c>
      <c r="Q77" s="40">
        <f>Tabela1[[#This Row],[Região04 3%]]+(Tabela1[[#This Row],[Região04 3%]]*0.06)</f>
        <v>5.4606960000000004</v>
      </c>
    </row>
    <row r="78" spans="1:17" x14ac:dyDescent="0.25">
      <c r="A78">
        <v>1964</v>
      </c>
      <c r="B78" t="s">
        <v>394</v>
      </c>
      <c r="C78" t="s">
        <v>376</v>
      </c>
      <c r="D78" t="s">
        <v>372</v>
      </c>
      <c r="E78" t="s">
        <v>378</v>
      </c>
      <c r="F78" t="s">
        <v>417</v>
      </c>
      <c r="H78" s="45">
        <v>6.0156000000000001</v>
      </c>
      <c r="I78" s="35">
        <f>Tabela1[[#This Row],[Preco 3%]]+(Tabela1[[#This Row],[Preco 3%]]*0.06)</f>
        <v>6.3765359999999998</v>
      </c>
      <c r="J78" s="37">
        <f>Tabela1[[#This Row],[Preco 3%]]+(Tabela1[[#This Row],[Preco 3%]]*0.1)</f>
        <v>6.6171600000000002</v>
      </c>
      <c r="K78" s="37">
        <f>Tabela1[[#This Row],[Região01 3%]]+(Tabela1[[#This Row],[Região01 3%]]*0.06)</f>
        <v>7.0141895999999999</v>
      </c>
      <c r="L78" s="39">
        <f>Tabela1[[#This Row],[Preco 3%]]+(Tabela1[[#This Row],[Preco 3%]]*0.05)</f>
        <v>6.3163800000000005</v>
      </c>
      <c r="M78" s="39">
        <f>Tabela1[[#This Row],[Região02 3%]]+(Tabela1[[#This Row],[Região02 3%]]*0.06)</f>
        <v>6.6953628000000007</v>
      </c>
      <c r="N78" s="38">
        <f>Tabela1[[#This Row],[Preco 3%]]+(Tabela1[[#This Row],[Preco 3%]]*0.08)</f>
        <v>6.496848</v>
      </c>
      <c r="O78" s="38">
        <f>Tabela1[[#This Row],[Região03 3%]]+(Tabela1[[#This Row],[Região03 3%]]*0.06)</f>
        <v>6.8866588799999997</v>
      </c>
      <c r="P78" s="40">
        <f>Tabela1[[#This Row],[Preco 3%]]+(Tabela1[[#This Row],[Preco 3%]]*0.06)</f>
        <v>6.3765359999999998</v>
      </c>
      <c r="Q78" s="40">
        <f>Tabela1[[#This Row],[Região04 3%]]+(Tabela1[[#This Row],[Região04 3%]]*0.06)</f>
        <v>6.7591281599999995</v>
      </c>
    </row>
    <row r="79" spans="1:17" x14ac:dyDescent="0.25">
      <c r="A79">
        <v>1965</v>
      </c>
      <c r="B79" t="s">
        <v>394</v>
      </c>
      <c r="C79" t="s">
        <v>377</v>
      </c>
      <c r="D79" t="s">
        <v>372</v>
      </c>
      <c r="E79" t="s">
        <v>427</v>
      </c>
      <c r="F79" t="s">
        <v>417</v>
      </c>
      <c r="H79" s="45">
        <v>6.8903999999999996</v>
      </c>
      <c r="I79" s="35">
        <f>Tabela1[[#This Row],[Preco 3%]]+(Tabela1[[#This Row],[Preco 3%]]*0.06)</f>
        <v>7.3038239999999996</v>
      </c>
      <c r="J79" s="37">
        <f>Tabela1[[#This Row],[Preco 3%]]+(Tabela1[[#This Row],[Preco 3%]]*0.1)</f>
        <v>7.57944</v>
      </c>
      <c r="K79" s="37">
        <f>Tabela1[[#This Row],[Região01 3%]]+(Tabela1[[#This Row],[Região01 3%]]*0.06)</f>
        <v>8.0342064000000004</v>
      </c>
      <c r="L79" s="39">
        <f>Tabela1[[#This Row],[Preco 3%]]+(Tabela1[[#This Row],[Preco 3%]]*0.05)</f>
        <v>7.2349199999999998</v>
      </c>
      <c r="M79" s="39">
        <f>Tabela1[[#This Row],[Região02 3%]]+(Tabela1[[#This Row],[Região02 3%]]*0.06)</f>
        <v>7.6690151999999996</v>
      </c>
      <c r="N79" s="38">
        <f>Tabela1[[#This Row],[Preco 3%]]+(Tabela1[[#This Row],[Preco 3%]]*0.08)</f>
        <v>7.4416319999999994</v>
      </c>
      <c r="O79" s="38">
        <f>Tabela1[[#This Row],[Região03 3%]]+(Tabela1[[#This Row],[Região03 3%]]*0.06)</f>
        <v>7.888129919999999</v>
      </c>
      <c r="P79" s="40">
        <f>Tabela1[[#This Row],[Preco 3%]]+(Tabela1[[#This Row],[Preco 3%]]*0.06)</f>
        <v>7.3038239999999996</v>
      </c>
      <c r="Q79" s="40">
        <f>Tabela1[[#This Row],[Região04 3%]]+(Tabela1[[#This Row],[Região04 3%]]*0.06)</f>
        <v>7.7420534399999994</v>
      </c>
    </row>
    <row r="80" spans="1:17" x14ac:dyDescent="0.25">
      <c r="A80">
        <v>1966</v>
      </c>
      <c r="B80" t="s">
        <v>394</v>
      </c>
      <c r="C80" t="s">
        <v>379</v>
      </c>
      <c r="D80" t="s">
        <v>372</v>
      </c>
      <c r="E80" t="s">
        <v>428</v>
      </c>
      <c r="F80" t="s">
        <v>417</v>
      </c>
      <c r="H80" s="45">
        <v>8.8452000000000002</v>
      </c>
      <c r="I80" s="35">
        <f>Tabela1[[#This Row],[Preco 3%]]+(Tabela1[[#This Row],[Preco 3%]]*0.06)</f>
        <v>9.3759119999999996</v>
      </c>
      <c r="J80" s="37">
        <f>Tabela1[[#This Row],[Preco 3%]]+(Tabela1[[#This Row],[Preco 3%]]*0.1)</f>
        <v>9.7297200000000004</v>
      </c>
      <c r="K80" s="37">
        <f>Tabela1[[#This Row],[Região01 3%]]+(Tabela1[[#This Row],[Região01 3%]]*0.06)</f>
        <v>10.3135032</v>
      </c>
      <c r="L80" s="39">
        <f>Tabela1[[#This Row],[Preco 3%]]+(Tabela1[[#This Row],[Preco 3%]]*0.05)</f>
        <v>9.2874599999999994</v>
      </c>
      <c r="M80" s="39">
        <f>Tabela1[[#This Row],[Região02 3%]]+(Tabela1[[#This Row],[Região02 3%]]*0.06)</f>
        <v>9.8447075999999996</v>
      </c>
      <c r="N80" s="38">
        <f>Tabela1[[#This Row],[Preco 3%]]+(Tabela1[[#This Row],[Preco 3%]]*0.08)</f>
        <v>9.552816</v>
      </c>
      <c r="O80" s="38">
        <f>Tabela1[[#This Row],[Região03 3%]]+(Tabela1[[#This Row],[Região03 3%]]*0.06)</f>
        <v>10.12598496</v>
      </c>
      <c r="P80" s="40">
        <f>Tabela1[[#This Row],[Preco 3%]]+(Tabela1[[#This Row],[Preco 3%]]*0.06)</f>
        <v>9.3759119999999996</v>
      </c>
      <c r="Q80" s="40">
        <f>Tabela1[[#This Row],[Região04 3%]]+(Tabela1[[#This Row],[Região04 3%]]*0.06)</f>
        <v>9.9384667199999992</v>
      </c>
    </row>
    <row r="81" spans="1:17" x14ac:dyDescent="0.25">
      <c r="A81">
        <v>1967</v>
      </c>
      <c r="B81" t="s">
        <v>394</v>
      </c>
      <c r="C81" t="s">
        <v>381</v>
      </c>
      <c r="D81" t="s">
        <v>372</v>
      </c>
      <c r="E81" t="s">
        <v>429</v>
      </c>
      <c r="F81" t="s">
        <v>417</v>
      </c>
      <c r="H81" s="45">
        <v>13.186800000000002</v>
      </c>
      <c r="I81" s="35">
        <f>Tabela1[[#This Row],[Preco 3%]]+(Tabela1[[#This Row],[Preco 3%]]*0.06)</f>
        <v>13.978008000000001</v>
      </c>
      <c r="J81" s="37">
        <f>Tabela1[[#This Row],[Preco 3%]]+(Tabela1[[#This Row],[Preco 3%]]*0.1)</f>
        <v>14.505480000000002</v>
      </c>
      <c r="K81" s="37">
        <f>Tabela1[[#This Row],[Região01 3%]]+(Tabela1[[#This Row],[Região01 3%]]*0.06)</f>
        <v>15.375808800000001</v>
      </c>
      <c r="L81" s="39">
        <f>Tabela1[[#This Row],[Preco 3%]]+(Tabela1[[#This Row],[Preco 3%]]*0.05)</f>
        <v>13.846140000000002</v>
      </c>
      <c r="M81" s="39">
        <f>Tabela1[[#This Row],[Região02 3%]]+(Tabela1[[#This Row],[Região02 3%]]*0.06)</f>
        <v>14.676908400000002</v>
      </c>
      <c r="N81" s="38">
        <f>Tabela1[[#This Row],[Preco 3%]]+(Tabela1[[#This Row],[Preco 3%]]*0.08)</f>
        <v>14.241744000000002</v>
      </c>
      <c r="O81" s="38">
        <f>Tabela1[[#This Row],[Região03 3%]]+(Tabela1[[#This Row],[Região03 3%]]*0.06)</f>
        <v>15.096248640000002</v>
      </c>
      <c r="P81" s="40">
        <f>Tabela1[[#This Row],[Preco 3%]]+(Tabela1[[#This Row],[Preco 3%]]*0.06)</f>
        <v>13.978008000000001</v>
      </c>
      <c r="Q81" s="40">
        <f>Tabela1[[#This Row],[Região04 3%]]+(Tabela1[[#This Row],[Região04 3%]]*0.06)</f>
        <v>14.816688480000002</v>
      </c>
    </row>
    <row r="82" spans="1:17" x14ac:dyDescent="0.25">
      <c r="A82">
        <v>1968</v>
      </c>
      <c r="B82" t="s">
        <v>394</v>
      </c>
      <c r="C82" t="s">
        <v>385</v>
      </c>
      <c r="D82" t="s">
        <v>372</v>
      </c>
      <c r="E82" t="s">
        <v>430</v>
      </c>
      <c r="F82" t="s">
        <v>417</v>
      </c>
      <c r="H82" s="45">
        <v>6.7284000000000006</v>
      </c>
      <c r="I82" s="35">
        <f>Tabela1[[#This Row],[Preco 3%]]+(Tabela1[[#This Row],[Preco 3%]]*0.06)</f>
        <v>7.1321040000000009</v>
      </c>
      <c r="J82" s="37">
        <f>Tabela1[[#This Row],[Preco 3%]]+(Tabela1[[#This Row],[Preco 3%]]*0.1)</f>
        <v>7.4012400000000005</v>
      </c>
      <c r="K82" s="37">
        <f>Tabela1[[#This Row],[Região01 3%]]+(Tabela1[[#This Row],[Região01 3%]]*0.06)</f>
        <v>7.8453144000000004</v>
      </c>
      <c r="L82" s="39">
        <f>Tabela1[[#This Row],[Preco 3%]]+(Tabela1[[#This Row],[Preco 3%]]*0.05)</f>
        <v>7.064820000000001</v>
      </c>
      <c r="M82" s="39">
        <f>Tabela1[[#This Row],[Região02 3%]]+(Tabela1[[#This Row],[Região02 3%]]*0.06)</f>
        <v>7.4887092000000006</v>
      </c>
      <c r="N82" s="38">
        <f>Tabela1[[#This Row],[Preco 3%]]+(Tabela1[[#This Row],[Preco 3%]]*0.08)</f>
        <v>7.2666720000000007</v>
      </c>
      <c r="O82" s="38">
        <f>Tabela1[[#This Row],[Região03 3%]]+(Tabela1[[#This Row],[Região03 3%]]*0.06)</f>
        <v>7.7026723200000005</v>
      </c>
      <c r="P82" s="40">
        <f>Tabela1[[#This Row],[Preco 3%]]+(Tabela1[[#This Row],[Preco 3%]]*0.06)</f>
        <v>7.1321040000000009</v>
      </c>
      <c r="Q82" s="40">
        <f>Tabela1[[#This Row],[Região04 3%]]+(Tabela1[[#This Row],[Região04 3%]]*0.06)</f>
        <v>7.5600302400000006</v>
      </c>
    </row>
    <row r="83" spans="1:17" x14ac:dyDescent="0.25">
      <c r="A83">
        <v>1969</v>
      </c>
      <c r="B83" t="s">
        <v>394</v>
      </c>
      <c r="C83" t="s">
        <v>387</v>
      </c>
      <c r="D83" t="s">
        <v>372</v>
      </c>
      <c r="E83" t="s">
        <v>391</v>
      </c>
      <c r="F83" t="s">
        <v>417</v>
      </c>
      <c r="H83" s="45">
        <v>8.2835999999999999</v>
      </c>
      <c r="I83" s="35">
        <f>Tabela1[[#This Row],[Preco 3%]]+(Tabela1[[#This Row],[Preco 3%]]*0.06)</f>
        <v>8.7806160000000002</v>
      </c>
      <c r="J83" s="37">
        <f>Tabela1[[#This Row],[Preco 3%]]+(Tabela1[[#This Row],[Preco 3%]]*0.1)</f>
        <v>9.1119599999999998</v>
      </c>
      <c r="K83" s="37">
        <f>Tabela1[[#This Row],[Região01 3%]]+(Tabela1[[#This Row],[Região01 3%]]*0.06)</f>
        <v>9.658677599999999</v>
      </c>
      <c r="L83" s="39">
        <f>Tabela1[[#This Row],[Preco 3%]]+(Tabela1[[#This Row],[Preco 3%]]*0.05)</f>
        <v>8.6977799999999998</v>
      </c>
      <c r="M83" s="39">
        <f>Tabela1[[#This Row],[Região02 3%]]+(Tabela1[[#This Row],[Região02 3%]]*0.06)</f>
        <v>9.2196467999999996</v>
      </c>
      <c r="N83" s="38">
        <f>Tabela1[[#This Row],[Preco 3%]]+(Tabela1[[#This Row],[Preco 3%]]*0.08)</f>
        <v>8.9462879999999991</v>
      </c>
      <c r="O83" s="38">
        <f>Tabela1[[#This Row],[Região03 3%]]+(Tabela1[[#This Row],[Região03 3%]]*0.06)</f>
        <v>9.4830652799999982</v>
      </c>
      <c r="P83" s="40">
        <f>Tabela1[[#This Row],[Preco 3%]]+(Tabela1[[#This Row],[Preco 3%]]*0.06)</f>
        <v>8.7806160000000002</v>
      </c>
      <c r="Q83" s="40">
        <f>Tabela1[[#This Row],[Região04 3%]]+(Tabela1[[#This Row],[Região04 3%]]*0.06)</f>
        <v>9.3074529600000009</v>
      </c>
    </row>
    <row r="84" spans="1:17" x14ac:dyDescent="0.25">
      <c r="A84">
        <v>1970</v>
      </c>
      <c r="B84" t="s">
        <v>394</v>
      </c>
      <c r="C84" t="s">
        <v>388</v>
      </c>
      <c r="D84" t="s">
        <v>372</v>
      </c>
      <c r="E84" t="s">
        <v>428</v>
      </c>
      <c r="F84" t="s">
        <v>417</v>
      </c>
      <c r="H84" s="45">
        <v>9.8064</v>
      </c>
      <c r="I84" s="35">
        <f>Tabela1[[#This Row],[Preco 3%]]+(Tabela1[[#This Row],[Preco 3%]]*0.06)</f>
        <v>10.394784</v>
      </c>
      <c r="J84" s="37">
        <f>Tabela1[[#This Row],[Preco 3%]]+(Tabela1[[#This Row],[Preco 3%]]*0.1)</f>
        <v>10.787039999999999</v>
      </c>
      <c r="K84" s="37">
        <f>Tabela1[[#This Row],[Região01 3%]]+(Tabela1[[#This Row],[Região01 3%]]*0.06)</f>
        <v>11.4342624</v>
      </c>
      <c r="L84" s="39">
        <f>Tabela1[[#This Row],[Preco 3%]]+(Tabela1[[#This Row],[Preco 3%]]*0.05)</f>
        <v>10.296720000000001</v>
      </c>
      <c r="M84" s="39">
        <f>Tabela1[[#This Row],[Região02 3%]]+(Tabela1[[#This Row],[Região02 3%]]*0.06)</f>
        <v>10.914523200000001</v>
      </c>
      <c r="N84" s="38">
        <f>Tabela1[[#This Row],[Preco 3%]]+(Tabela1[[#This Row],[Preco 3%]]*0.08)</f>
        <v>10.590911999999999</v>
      </c>
      <c r="O84" s="38">
        <f>Tabela1[[#This Row],[Região03 3%]]+(Tabela1[[#This Row],[Região03 3%]]*0.06)</f>
        <v>11.22636672</v>
      </c>
      <c r="P84" s="40">
        <f>Tabela1[[#This Row],[Preco 3%]]+(Tabela1[[#This Row],[Preco 3%]]*0.06)</f>
        <v>10.394784</v>
      </c>
      <c r="Q84" s="40">
        <f>Tabela1[[#This Row],[Região04 3%]]+(Tabela1[[#This Row],[Região04 3%]]*0.06)</f>
        <v>11.01847104</v>
      </c>
    </row>
    <row r="85" spans="1:17" x14ac:dyDescent="0.25">
      <c r="A85">
        <v>1971</v>
      </c>
      <c r="B85" t="s">
        <v>394</v>
      </c>
      <c r="C85" t="s">
        <v>390</v>
      </c>
      <c r="D85" t="s">
        <v>372</v>
      </c>
      <c r="E85" t="s">
        <v>431</v>
      </c>
      <c r="F85" t="s">
        <v>417</v>
      </c>
      <c r="H85" s="45">
        <v>12.6036</v>
      </c>
      <c r="I85" s="35">
        <f>Tabela1[[#This Row],[Preco 3%]]+(Tabela1[[#This Row],[Preco 3%]]*0.06)</f>
        <v>13.359816</v>
      </c>
      <c r="J85" s="37">
        <f>Tabela1[[#This Row],[Preco 3%]]+(Tabela1[[#This Row],[Preco 3%]]*0.1)</f>
        <v>13.863960000000001</v>
      </c>
      <c r="K85" s="37">
        <f>Tabela1[[#This Row],[Região01 3%]]+(Tabela1[[#This Row],[Região01 3%]]*0.06)</f>
        <v>14.695797600000001</v>
      </c>
      <c r="L85" s="39">
        <f>Tabela1[[#This Row],[Preco 3%]]+(Tabela1[[#This Row],[Preco 3%]]*0.05)</f>
        <v>13.233779999999999</v>
      </c>
      <c r="M85" s="39">
        <f>Tabela1[[#This Row],[Região02 3%]]+(Tabela1[[#This Row],[Região02 3%]]*0.06)</f>
        <v>14.027806799999999</v>
      </c>
      <c r="N85" s="38">
        <f>Tabela1[[#This Row],[Preco 3%]]+(Tabela1[[#This Row],[Preco 3%]]*0.08)</f>
        <v>13.611888</v>
      </c>
      <c r="O85" s="38">
        <f>Tabela1[[#This Row],[Região03 3%]]+(Tabela1[[#This Row],[Região03 3%]]*0.06)</f>
        <v>14.428601280000001</v>
      </c>
      <c r="P85" s="40">
        <f>Tabela1[[#This Row],[Preco 3%]]+(Tabela1[[#This Row],[Preco 3%]]*0.06)</f>
        <v>13.359816</v>
      </c>
      <c r="Q85" s="40">
        <f>Tabela1[[#This Row],[Região04 3%]]+(Tabela1[[#This Row],[Região04 3%]]*0.06)</f>
        <v>14.16140496</v>
      </c>
    </row>
    <row r="86" spans="1:17" x14ac:dyDescent="0.25">
      <c r="A86">
        <v>1972</v>
      </c>
      <c r="B86" t="s">
        <v>394</v>
      </c>
      <c r="C86" t="s">
        <v>392</v>
      </c>
      <c r="D86" t="s">
        <v>372</v>
      </c>
      <c r="E86" t="s">
        <v>432</v>
      </c>
      <c r="F86" t="s">
        <v>417</v>
      </c>
      <c r="H86" s="45">
        <v>18.176399999999997</v>
      </c>
      <c r="I86" s="35">
        <f>Tabela1[[#This Row],[Preco 3%]]+(Tabela1[[#This Row],[Preco 3%]]*0.06)</f>
        <v>19.266983999999997</v>
      </c>
      <c r="J86" s="37">
        <f>Tabela1[[#This Row],[Preco 3%]]+(Tabela1[[#This Row],[Preco 3%]]*0.1)</f>
        <v>19.994039999999998</v>
      </c>
      <c r="K86" s="37">
        <f>Tabela1[[#This Row],[Região01 3%]]+(Tabela1[[#This Row],[Região01 3%]]*0.06)</f>
        <v>21.193682399999997</v>
      </c>
      <c r="L86" s="39">
        <f>Tabela1[[#This Row],[Preco 3%]]+(Tabela1[[#This Row],[Preco 3%]]*0.05)</f>
        <v>19.085219999999996</v>
      </c>
      <c r="M86" s="39">
        <f>Tabela1[[#This Row],[Região02 3%]]+(Tabela1[[#This Row],[Região02 3%]]*0.06)</f>
        <v>20.230333199999997</v>
      </c>
      <c r="N86" s="38">
        <f>Tabela1[[#This Row],[Preco 3%]]+(Tabela1[[#This Row],[Preco 3%]]*0.08)</f>
        <v>19.630511999999996</v>
      </c>
      <c r="O86" s="38">
        <f>Tabela1[[#This Row],[Região03 3%]]+(Tabela1[[#This Row],[Região03 3%]]*0.06)</f>
        <v>20.808342719999995</v>
      </c>
      <c r="P86" s="40">
        <f>Tabela1[[#This Row],[Preco 3%]]+(Tabela1[[#This Row],[Preco 3%]]*0.06)</f>
        <v>19.266983999999997</v>
      </c>
      <c r="Q86" s="40">
        <f>Tabela1[[#This Row],[Região04 3%]]+(Tabela1[[#This Row],[Região04 3%]]*0.06)</f>
        <v>20.423003039999998</v>
      </c>
    </row>
    <row r="87" spans="1:17" x14ac:dyDescent="0.25">
      <c r="A87">
        <v>1973</v>
      </c>
      <c r="B87" t="s">
        <v>370</v>
      </c>
      <c r="C87" t="s">
        <v>383</v>
      </c>
      <c r="D87" t="s">
        <v>372</v>
      </c>
      <c r="E87" t="s">
        <v>384</v>
      </c>
      <c r="F87" t="s">
        <v>4</v>
      </c>
      <c r="H87" s="42">
        <v>5.3567999999999998</v>
      </c>
      <c r="I87" s="35">
        <f>Tabela1[[#This Row],[Preco 3%]]+(Tabela1[[#This Row],[Preco 3%]]*0.06)</f>
        <v>5.6782079999999997</v>
      </c>
      <c r="J87" s="37">
        <f>Tabela1[[#This Row],[Preco 3%]]+(Tabela1[[#This Row],[Preco 3%]]*0.1)</f>
        <v>5.8924799999999999</v>
      </c>
      <c r="K87" s="37">
        <f>Tabela1[[#This Row],[Região01 3%]]+(Tabela1[[#This Row],[Região01 3%]]*0.06)</f>
        <v>6.2460287999999995</v>
      </c>
      <c r="L87" s="39">
        <f>Tabela1[[#This Row],[Preco 3%]]+(Tabela1[[#This Row],[Preco 3%]]*0.05)</f>
        <v>5.6246399999999994</v>
      </c>
      <c r="M87" s="39">
        <f>Tabela1[[#This Row],[Região02 3%]]+(Tabela1[[#This Row],[Região02 3%]]*0.06)</f>
        <v>5.9621183999999996</v>
      </c>
      <c r="N87" s="38">
        <f>Tabela1[[#This Row],[Preco 3%]]+(Tabela1[[#This Row],[Preco 3%]]*0.08)</f>
        <v>5.7853439999999994</v>
      </c>
      <c r="O87" s="38">
        <f>Tabela1[[#This Row],[Região03 3%]]+(Tabela1[[#This Row],[Região03 3%]]*0.06)</f>
        <v>6.1324646399999994</v>
      </c>
      <c r="P87" s="40">
        <f>Tabela1[[#This Row],[Preco 3%]]+(Tabela1[[#This Row],[Preco 3%]]*0.06)</f>
        <v>5.6782079999999997</v>
      </c>
      <c r="Q87" s="40">
        <f>Tabela1[[#This Row],[Região04 3%]]+(Tabela1[[#This Row],[Região04 3%]]*0.06)</f>
        <v>6.0189004799999992</v>
      </c>
    </row>
    <row r="88" spans="1:17" x14ac:dyDescent="0.25">
      <c r="A88">
        <v>1974</v>
      </c>
      <c r="B88" t="s">
        <v>370</v>
      </c>
      <c r="C88" t="s">
        <v>383</v>
      </c>
      <c r="D88" t="s">
        <v>372</v>
      </c>
      <c r="E88" t="s">
        <v>425</v>
      </c>
      <c r="F88" t="s">
        <v>417</v>
      </c>
      <c r="H88" s="45">
        <v>6.3720000000000008</v>
      </c>
      <c r="I88" s="35">
        <f>Tabela1[[#This Row],[Preco 3%]]+(Tabela1[[#This Row],[Preco 3%]]*0.06)</f>
        <v>6.7543200000000008</v>
      </c>
      <c r="J88" s="37">
        <f>Tabela1[[#This Row],[Preco 3%]]+(Tabela1[[#This Row],[Preco 3%]]*0.1)</f>
        <v>7.0092000000000008</v>
      </c>
      <c r="K88" s="37">
        <f>Tabela1[[#This Row],[Região01 3%]]+(Tabela1[[#This Row],[Região01 3%]]*0.06)</f>
        <v>7.4297520000000006</v>
      </c>
      <c r="L88" s="39">
        <f>Tabela1[[#This Row],[Preco 3%]]+(Tabela1[[#This Row],[Preco 3%]]*0.05)</f>
        <v>6.6906000000000008</v>
      </c>
      <c r="M88" s="39">
        <f>Tabela1[[#This Row],[Região02 3%]]+(Tabela1[[#This Row],[Região02 3%]]*0.06)</f>
        <v>7.0920360000000011</v>
      </c>
      <c r="N88" s="38">
        <f>Tabela1[[#This Row],[Preco 3%]]+(Tabela1[[#This Row],[Preco 3%]]*0.08)</f>
        <v>6.8817600000000008</v>
      </c>
      <c r="O88" s="38">
        <f>Tabela1[[#This Row],[Região03 3%]]+(Tabela1[[#This Row],[Região03 3%]]*0.06)</f>
        <v>7.294665600000001</v>
      </c>
      <c r="P88" s="40">
        <f>Tabela1[[#This Row],[Preco 3%]]+(Tabela1[[#This Row],[Preco 3%]]*0.06)</f>
        <v>6.7543200000000008</v>
      </c>
      <c r="Q88" s="40">
        <f>Tabela1[[#This Row],[Região04 3%]]+(Tabela1[[#This Row],[Região04 3%]]*0.06)</f>
        <v>7.1595792000000005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FCE64-D7FA-4D45-8404-238F9DAB7CE2}">
  <dimension ref="A1:G331"/>
  <sheetViews>
    <sheetView workbookViewId="0">
      <selection activeCell="F323" sqref="F323"/>
    </sheetView>
  </sheetViews>
  <sheetFormatPr defaultColWidth="50.85546875" defaultRowHeight="15" x14ac:dyDescent="0.25"/>
  <cols>
    <col min="1" max="1" width="7" style="7" customWidth="1"/>
    <col min="2" max="2" width="76.5703125" style="7" bestFit="1" customWidth="1"/>
    <col min="3" max="3" width="7.7109375" style="7" customWidth="1"/>
    <col min="4" max="4" width="12.5703125" style="7" bestFit="1" customWidth="1"/>
    <col min="5" max="5" width="7.28515625" style="7" customWidth="1"/>
    <col min="6" max="6" width="8.42578125" style="7" customWidth="1"/>
    <col min="7" max="7" width="8.7109375" style="7" customWidth="1"/>
    <col min="8" max="16384" width="50.85546875" style="7"/>
  </cols>
  <sheetData>
    <row r="1" spans="1:7" x14ac:dyDescent="0.25">
      <c r="A1" s="13" t="s">
        <v>635</v>
      </c>
      <c r="B1" s="13" t="s">
        <v>636</v>
      </c>
      <c r="C1" s="14" t="s">
        <v>637</v>
      </c>
      <c r="D1" s="14" t="s">
        <v>638</v>
      </c>
      <c r="E1" s="14" t="s">
        <v>639</v>
      </c>
      <c r="F1" s="14" t="s">
        <v>640</v>
      </c>
      <c r="G1" s="14" t="s">
        <v>641</v>
      </c>
    </row>
    <row r="2" spans="1:7" hidden="1" x14ac:dyDescent="0.25">
      <c r="A2" s="8">
        <v>1</v>
      </c>
      <c r="B2" s="11" t="s">
        <v>442</v>
      </c>
      <c r="C2" s="15"/>
      <c r="D2" s="8" t="s">
        <v>598</v>
      </c>
      <c r="E2" s="12">
        <v>0</v>
      </c>
      <c r="F2" s="12">
        <v>1000</v>
      </c>
      <c r="G2" s="18" t="e">
        <f>[1]!Tabela2[[#This Row],[VOL.]]*[1]!Tabela2[[#This Row],[UNID.]]</f>
        <v>#VALUE!</v>
      </c>
    </row>
    <row r="3" spans="1:7" hidden="1" x14ac:dyDescent="0.25">
      <c r="A3" s="8">
        <v>2</v>
      </c>
      <c r="B3" s="11" t="s">
        <v>443</v>
      </c>
      <c r="C3" s="15"/>
      <c r="D3" s="8" t="s">
        <v>598</v>
      </c>
      <c r="E3" s="12">
        <v>14</v>
      </c>
      <c r="F3" s="12">
        <v>1000</v>
      </c>
      <c r="G3" s="18" t="e">
        <f>[1]!Tabela2[[#This Row],[VOL.]]*[1]!Tabela2[[#This Row],[UNID.]]</f>
        <v>#VALUE!</v>
      </c>
    </row>
    <row r="4" spans="1:7" hidden="1" x14ac:dyDescent="0.25">
      <c r="A4" s="8">
        <v>3</v>
      </c>
      <c r="B4" s="11" t="s">
        <v>444</v>
      </c>
      <c r="C4" s="15"/>
      <c r="D4" s="8" t="s">
        <v>598</v>
      </c>
      <c r="E4" s="12">
        <v>0</v>
      </c>
      <c r="F4" s="12">
        <v>1000</v>
      </c>
      <c r="G4" s="18">
        <f>[1]!Tabela2[[#This Row],[VOL.]]*[1]!Tabela2[[#This Row],[UNID.]]</f>
        <v>14000</v>
      </c>
    </row>
    <row r="5" spans="1:7" hidden="1" x14ac:dyDescent="0.25">
      <c r="A5" s="8">
        <v>4</v>
      </c>
      <c r="B5" s="11" t="s">
        <v>445</v>
      </c>
      <c r="C5" s="15"/>
      <c r="D5" s="8" t="s">
        <v>642</v>
      </c>
      <c r="E5" s="12">
        <v>13</v>
      </c>
      <c r="F5" s="12">
        <v>1000</v>
      </c>
      <c r="G5" s="18">
        <f>[1]!Tabela2[[#This Row],[VOL.]]*[1]!Tabela2[[#This Row],[UNID.]]</f>
        <v>0</v>
      </c>
    </row>
    <row r="6" spans="1:7" x14ac:dyDescent="0.25">
      <c r="A6" s="8">
        <v>5</v>
      </c>
      <c r="B6" s="11" t="s">
        <v>446</v>
      </c>
      <c r="C6" s="16" t="s">
        <v>599</v>
      </c>
      <c r="D6" s="8" t="s">
        <v>598</v>
      </c>
      <c r="E6" s="12">
        <v>0</v>
      </c>
      <c r="F6" s="12"/>
      <c r="G6" s="18">
        <f>[1]!Tabela2[[#This Row],[VOL.]]*[1]!Tabela2[[#This Row],[UNID.]]</f>
        <v>0</v>
      </c>
    </row>
    <row r="7" spans="1:7" x14ac:dyDescent="0.25">
      <c r="A7" s="8">
        <v>6</v>
      </c>
      <c r="B7" s="11" t="s">
        <v>447</v>
      </c>
      <c r="C7" s="16" t="s">
        <v>600</v>
      </c>
      <c r="D7" s="8" t="s">
        <v>598</v>
      </c>
      <c r="E7" s="12">
        <v>0</v>
      </c>
      <c r="F7" s="12"/>
      <c r="G7" s="18">
        <f>[1]!Tabela2[[#This Row],[VOL.]]*[1]!Tabela2[[#This Row],[UNID.]]</f>
        <v>0</v>
      </c>
    </row>
    <row r="8" spans="1:7" x14ac:dyDescent="0.25">
      <c r="A8" s="8">
        <v>7</v>
      </c>
      <c r="B8" s="11" t="s">
        <v>446</v>
      </c>
      <c r="C8" s="16" t="s">
        <v>601</v>
      </c>
      <c r="D8" s="8" t="s">
        <v>598</v>
      </c>
      <c r="E8" s="12">
        <v>0</v>
      </c>
      <c r="F8" s="12"/>
      <c r="G8" s="18">
        <f>[1]!Tabela2[[#This Row],[VOL.]]*[1]!Tabela2[[#This Row],[UNID.]]</f>
        <v>0</v>
      </c>
    </row>
    <row r="9" spans="1:7" hidden="1" x14ac:dyDescent="0.25">
      <c r="A9" s="8">
        <v>8</v>
      </c>
      <c r="B9" s="11" t="s">
        <v>448</v>
      </c>
      <c r="C9" s="15" t="s">
        <v>346</v>
      </c>
      <c r="D9" s="8" t="s">
        <v>598</v>
      </c>
      <c r="E9" s="12">
        <v>9</v>
      </c>
      <c r="F9" s="12">
        <v>72</v>
      </c>
      <c r="G9" s="18">
        <f>[1]!Tabela2[[#This Row],[VOL.]]*[1]!Tabela2[[#This Row],[UNID.]]</f>
        <v>0</v>
      </c>
    </row>
    <row r="10" spans="1:7" x14ac:dyDescent="0.25">
      <c r="A10" s="8">
        <v>9</v>
      </c>
      <c r="B10" s="11" t="s">
        <v>449</v>
      </c>
      <c r="C10" s="15" t="s">
        <v>602</v>
      </c>
      <c r="D10" s="8" t="s">
        <v>598</v>
      </c>
      <c r="E10" s="12">
        <v>0</v>
      </c>
      <c r="F10" s="12"/>
      <c r="G10" s="18">
        <f>[1]!Tabela2[[#This Row],[VOL.]]*[1]!Tabela2[[#This Row],[UNID.]]</f>
        <v>0</v>
      </c>
    </row>
    <row r="11" spans="1:7" hidden="1" x14ac:dyDescent="0.25">
      <c r="A11" s="8">
        <v>10</v>
      </c>
      <c r="B11" s="11" t="s">
        <v>450</v>
      </c>
      <c r="C11" s="15" t="s">
        <v>603</v>
      </c>
      <c r="D11" s="8" t="s">
        <v>598</v>
      </c>
      <c r="E11" s="12">
        <v>0</v>
      </c>
      <c r="F11" s="12">
        <v>60</v>
      </c>
      <c r="G11" s="18">
        <f>[1]!Tabela2[[#This Row],[VOL.]]*[1]!Tabela2[[#This Row],[UNID.]]</f>
        <v>288</v>
      </c>
    </row>
    <row r="12" spans="1:7" hidden="1" x14ac:dyDescent="0.25">
      <c r="A12" s="8">
        <v>11</v>
      </c>
      <c r="B12" s="11" t="s">
        <v>451</v>
      </c>
      <c r="C12" s="15" t="s">
        <v>348</v>
      </c>
      <c r="D12" s="8" t="s">
        <v>598</v>
      </c>
      <c r="E12" s="12">
        <v>0</v>
      </c>
      <c r="F12" s="12">
        <v>50</v>
      </c>
      <c r="G12" s="18">
        <f>[1]!Tabela2[[#This Row],[VOL.]]*[1]!Tabela2[[#This Row],[UNID.]]</f>
        <v>0</v>
      </c>
    </row>
    <row r="13" spans="1:7" x14ac:dyDescent="0.25">
      <c r="A13" s="8">
        <v>12</v>
      </c>
      <c r="B13" s="11" t="s">
        <v>452</v>
      </c>
      <c r="C13" s="15" t="s">
        <v>604</v>
      </c>
      <c r="D13" s="8" t="s">
        <v>598</v>
      </c>
      <c r="E13" s="12">
        <v>0</v>
      </c>
      <c r="F13" s="12"/>
      <c r="G13" s="18">
        <f>[1]!Tabela2[[#This Row],[VOL.]]*[1]!Tabela2[[#This Row],[UNID.]]</f>
        <v>60</v>
      </c>
    </row>
    <row r="14" spans="1:7" hidden="1" x14ac:dyDescent="0.25">
      <c r="A14" s="8">
        <v>13</v>
      </c>
      <c r="B14" s="11" t="s">
        <v>453</v>
      </c>
      <c r="C14" s="15" t="s">
        <v>350</v>
      </c>
      <c r="D14" s="8" t="s">
        <v>598</v>
      </c>
      <c r="E14" s="12">
        <v>14</v>
      </c>
      <c r="F14" s="12">
        <v>50</v>
      </c>
      <c r="G14" s="18">
        <f>[1]!Tabela2[[#This Row],[VOL.]]*[1]!Tabela2[[#This Row],[UNID.]]</f>
        <v>0</v>
      </c>
    </row>
    <row r="15" spans="1:7" x14ac:dyDescent="0.25">
      <c r="A15" s="8">
        <v>14</v>
      </c>
      <c r="B15" s="11" t="s">
        <v>454</v>
      </c>
      <c r="C15" s="15" t="s">
        <v>351</v>
      </c>
      <c r="D15" s="8" t="s">
        <v>598</v>
      </c>
      <c r="E15" s="12">
        <v>0</v>
      </c>
      <c r="F15" s="12"/>
      <c r="G15" s="18">
        <f>[1]!Tabela2[[#This Row],[VOL.]]*[1]!Tabela2[[#This Row],[UNID.]]</f>
        <v>0</v>
      </c>
    </row>
    <row r="16" spans="1:7" x14ac:dyDescent="0.25">
      <c r="A16" s="8">
        <v>15</v>
      </c>
      <c r="B16" s="11" t="s">
        <v>455</v>
      </c>
      <c r="C16" s="15" t="s">
        <v>605</v>
      </c>
      <c r="D16" s="8" t="s">
        <v>598</v>
      </c>
      <c r="E16" s="12">
        <v>0</v>
      </c>
      <c r="F16" s="12"/>
      <c r="G16" s="18">
        <f>[1]!Tabela2[[#This Row],[VOL.]]*[1]!Tabela2[[#This Row],[UNID.]]</f>
        <v>0</v>
      </c>
    </row>
    <row r="17" spans="1:7" hidden="1" x14ac:dyDescent="0.25">
      <c r="A17" s="8">
        <v>16</v>
      </c>
      <c r="B17" s="11" t="s">
        <v>456</v>
      </c>
      <c r="C17" s="15" t="s">
        <v>352</v>
      </c>
      <c r="D17" s="8" t="s">
        <v>598</v>
      </c>
      <c r="E17" s="12">
        <v>1</v>
      </c>
      <c r="F17" s="12">
        <v>40</v>
      </c>
      <c r="G17" s="18">
        <f>[1]!Tabela2[[#This Row],[VOL.]]*[1]!Tabela2[[#This Row],[UNID.]]</f>
        <v>0</v>
      </c>
    </row>
    <row r="18" spans="1:7" x14ac:dyDescent="0.25">
      <c r="A18" s="8">
        <v>17</v>
      </c>
      <c r="B18" s="11" t="s">
        <v>457</v>
      </c>
      <c r="C18" s="15" t="s">
        <v>606</v>
      </c>
      <c r="D18" s="8" t="s">
        <v>598</v>
      </c>
      <c r="E18" s="12">
        <v>0</v>
      </c>
      <c r="F18" s="12"/>
      <c r="G18" s="18">
        <f>[1]!Tabela2[[#This Row],[VOL.]]*[1]!Tabela2[[#This Row],[UNID.]]</f>
        <v>0</v>
      </c>
    </row>
    <row r="19" spans="1:7" x14ac:dyDescent="0.25">
      <c r="A19" s="8">
        <v>18</v>
      </c>
      <c r="B19" s="11" t="s">
        <v>458</v>
      </c>
      <c r="C19" s="15" t="s">
        <v>607</v>
      </c>
      <c r="D19" s="8" t="s">
        <v>598</v>
      </c>
      <c r="E19" s="12">
        <v>0</v>
      </c>
      <c r="F19" s="12"/>
      <c r="G19" s="18">
        <f>[1]!Tabela2[[#This Row],[VOL.]]*[1]!Tabela2[[#This Row],[UNID.]]</f>
        <v>0</v>
      </c>
    </row>
    <row r="20" spans="1:7" x14ac:dyDescent="0.25">
      <c r="A20" s="8">
        <v>19</v>
      </c>
      <c r="B20" s="11" t="s">
        <v>459</v>
      </c>
      <c r="C20" s="15" t="s">
        <v>359</v>
      </c>
      <c r="D20" s="8" t="s">
        <v>608</v>
      </c>
      <c r="E20" s="12">
        <v>0</v>
      </c>
      <c r="F20" s="12"/>
      <c r="G20" s="18">
        <f>[1]!Tabela2[[#This Row],[VOL.]]*[1]!Tabela2[[#This Row],[UNID.]]</f>
        <v>0</v>
      </c>
    </row>
    <row r="21" spans="1:7" hidden="1" x14ac:dyDescent="0.25">
      <c r="A21" s="8">
        <v>51</v>
      </c>
      <c r="B21" s="11" t="s">
        <v>460</v>
      </c>
      <c r="C21" s="15" t="s">
        <v>355</v>
      </c>
      <c r="D21" s="8" t="s">
        <v>608</v>
      </c>
      <c r="E21" s="12">
        <v>0</v>
      </c>
      <c r="F21" s="12">
        <v>40</v>
      </c>
      <c r="G21" s="18">
        <f>[1]!Tabela2[[#This Row],[VOL.]]*[1]!Tabela2[[#This Row],[UNID.]]</f>
        <v>0</v>
      </c>
    </row>
    <row r="22" spans="1:7" x14ac:dyDescent="0.25">
      <c r="A22" s="8">
        <v>52</v>
      </c>
      <c r="B22" s="11" t="s">
        <v>459</v>
      </c>
      <c r="C22" s="15" t="s">
        <v>609</v>
      </c>
      <c r="D22" s="8" t="s">
        <v>608</v>
      </c>
      <c r="E22" s="12">
        <v>0</v>
      </c>
      <c r="F22" s="12"/>
      <c r="G22" s="18">
        <f>[1]!Tabela2[[#This Row],[VOL.]]*[1]!Tabela2[[#This Row],[UNID.]]</f>
        <v>0</v>
      </c>
    </row>
    <row r="23" spans="1:7" x14ac:dyDescent="0.25">
      <c r="A23" s="8">
        <v>53</v>
      </c>
      <c r="B23" s="11" t="s">
        <v>459</v>
      </c>
      <c r="C23" s="15" t="s">
        <v>610</v>
      </c>
      <c r="D23" s="8" t="s">
        <v>608</v>
      </c>
      <c r="E23" s="12">
        <v>0</v>
      </c>
      <c r="F23" s="12"/>
      <c r="G23" s="18">
        <f>[1]!Tabela2[[#This Row],[VOL.]]*[1]!Tabela2[[#This Row],[UNID.]]</f>
        <v>200</v>
      </c>
    </row>
    <row r="24" spans="1:7" x14ac:dyDescent="0.25">
      <c r="A24" s="8">
        <v>54</v>
      </c>
      <c r="B24" s="11" t="s">
        <v>459</v>
      </c>
      <c r="C24" s="15" t="s">
        <v>611</v>
      </c>
      <c r="D24" s="8" t="s">
        <v>608</v>
      </c>
      <c r="E24" s="12">
        <v>0</v>
      </c>
      <c r="F24" s="12"/>
      <c r="G24" s="18">
        <f>[1]!Tabela2[[#This Row],[VOL.]]*[1]!Tabela2[[#This Row],[UNID.]]</f>
        <v>0</v>
      </c>
    </row>
    <row r="25" spans="1:7" hidden="1" x14ac:dyDescent="0.25">
      <c r="A25" s="8">
        <v>55</v>
      </c>
      <c r="B25" s="11" t="s">
        <v>459</v>
      </c>
      <c r="C25" s="15" t="s">
        <v>643</v>
      </c>
      <c r="D25" s="8" t="s">
        <v>608</v>
      </c>
      <c r="E25" s="12">
        <v>4</v>
      </c>
      <c r="F25" s="12">
        <v>30</v>
      </c>
      <c r="G25" s="18">
        <f>[1]!Tabela2[[#This Row],[VOL.]]*[1]!Tabela2[[#This Row],[UNID.]]</f>
        <v>0</v>
      </c>
    </row>
    <row r="26" spans="1:7" x14ac:dyDescent="0.25">
      <c r="A26" s="8">
        <v>56</v>
      </c>
      <c r="B26" s="11" t="s">
        <v>459</v>
      </c>
      <c r="C26" s="15" t="s">
        <v>612</v>
      </c>
      <c r="D26" s="8" t="s">
        <v>608</v>
      </c>
      <c r="E26" s="12">
        <v>0</v>
      </c>
      <c r="F26" s="12"/>
      <c r="G26" s="18">
        <f>[1]!Tabela2[[#This Row],[VOL.]]*[1]!Tabela2[[#This Row],[UNID.]]</f>
        <v>0</v>
      </c>
    </row>
    <row r="27" spans="1:7" x14ac:dyDescent="0.25">
      <c r="A27" s="8">
        <v>57</v>
      </c>
      <c r="B27" s="11" t="s">
        <v>459</v>
      </c>
      <c r="C27" s="15" t="s">
        <v>357</v>
      </c>
      <c r="D27" s="8" t="s">
        <v>608</v>
      </c>
      <c r="E27" s="12">
        <v>0</v>
      </c>
      <c r="F27" s="12"/>
      <c r="G27" s="18">
        <f>[1]!Tabela2[[#This Row],[VOL.]]*[1]!Tabela2[[#This Row],[UNID.]]</f>
        <v>90</v>
      </c>
    </row>
    <row r="28" spans="1:7" x14ac:dyDescent="0.25">
      <c r="A28" s="8">
        <v>58</v>
      </c>
      <c r="B28" s="11" t="s">
        <v>459</v>
      </c>
      <c r="C28" s="15" t="s">
        <v>613</v>
      </c>
      <c r="D28" s="8" t="s">
        <v>608</v>
      </c>
      <c r="E28" s="12">
        <v>0</v>
      </c>
      <c r="F28" s="12"/>
      <c r="G28" s="18">
        <f>[1]!Tabela2[[#This Row],[VOL.]]*[1]!Tabela2[[#This Row],[UNID.]]</f>
        <v>0</v>
      </c>
    </row>
    <row r="29" spans="1:7" hidden="1" x14ac:dyDescent="0.25">
      <c r="A29" s="8">
        <v>59</v>
      </c>
      <c r="B29" s="11" t="s">
        <v>459</v>
      </c>
      <c r="C29" s="15" t="s">
        <v>620</v>
      </c>
      <c r="D29" s="8" t="s">
        <v>608</v>
      </c>
      <c r="E29" s="12">
        <v>3</v>
      </c>
      <c r="F29" s="12">
        <v>32</v>
      </c>
      <c r="G29" s="18">
        <f>[1]!Tabela2[[#This Row],[VOL.]]*[1]!Tabela2[[#This Row],[UNID.]]</f>
        <v>0</v>
      </c>
    </row>
    <row r="30" spans="1:7" x14ac:dyDescent="0.25">
      <c r="A30" s="8">
        <v>60</v>
      </c>
      <c r="B30" s="11" t="s">
        <v>459</v>
      </c>
      <c r="C30" s="15" t="s">
        <v>358</v>
      </c>
      <c r="D30" s="8" t="s">
        <v>608</v>
      </c>
      <c r="E30" s="12">
        <v>0</v>
      </c>
      <c r="F30" s="12"/>
      <c r="G30" s="18">
        <f>[1]!Tabela2[[#This Row],[VOL.]]*[1]!Tabela2[[#This Row],[UNID.]]</f>
        <v>0</v>
      </c>
    </row>
    <row r="31" spans="1:7" x14ac:dyDescent="0.25">
      <c r="A31" s="8">
        <v>61</v>
      </c>
      <c r="B31" s="11" t="s">
        <v>459</v>
      </c>
      <c r="C31" s="15" t="s">
        <v>614</v>
      </c>
      <c r="D31" s="8" t="s">
        <v>608</v>
      </c>
      <c r="E31" s="12">
        <v>0</v>
      </c>
      <c r="F31" s="12"/>
      <c r="G31" s="18">
        <f>[1]!Tabela2[[#This Row],[VOL.]]*[1]!Tabela2[[#This Row],[UNID.]]</f>
        <v>96</v>
      </c>
    </row>
    <row r="32" spans="1:7" hidden="1" x14ac:dyDescent="0.25">
      <c r="A32" s="8">
        <v>63</v>
      </c>
      <c r="B32" s="11" t="s">
        <v>461</v>
      </c>
      <c r="C32" s="15" t="s">
        <v>356</v>
      </c>
      <c r="D32" s="8" t="s">
        <v>608</v>
      </c>
      <c r="E32" s="12">
        <v>0</v>
      </c>
      <c r="F32" s="12">
        <v>32</v>
      </c>
      <c r="G32" s="18">
        <f>[1]!Tabela2[[#This Row],[VOL.]]*[1]!Tabela2[[#This Row],[UNID.]]</f>
        <v>0</v>
      </c>
    </row>
    <row r="33" spans="1:7" hidden="1" x14ac:dyDescent="0.25">
      <c r="A33" s="8">
        <v>73</v>
      </c>
      <c r="B33" s="11" t="s">
        <v>462</v>
      </c>
      <c r="C33" s="15" t="s">
        <v>357</v>
      </c>
      <c r="D33" s="8" t="s">
        <v>615</v>
      </c>
      <c r="E33" s="12">
        <v>4</v>
      </c>
      <c r="F33" s="12">
        <v>32</v>
      </c>
      <c r="G33" s="18">
        <f>[1]!Tabela2[[#This Row],[VOL.]]*[1]!Tabela2[[#This Row],[UNID.]]</f>
        <v>0</v>
      </c>
    </row>
    <row r="34" spans="1:7" x14ac:dyDescent="0.25">
      <c r="A34" s="8">
        <v>74</v>
      </c>
      <c r="B34" s="11" t="s">
        <v>463</v>
      </c>
      <c r="C34" s="15" t="s">
        <v>613</v>
      </c>
      <c r="D34" s="8" t="s">
        <v>615</v>
      </c>
      <c r="E34" s="12">
        <v>0</v>
      </c>
      <c r="F34" s="12"/>
      <c r="G34" s="18">
        <f>[1]!Tabela2[[#This Row],[VOL.]]*[1]!Tabela2[[#This Row],[UNID.]]</f>
        <v>0</v>
      </c>
    </row>
    <row r="35" spans="1:7" hidden="1" x14ac:dyDescent="0.25">
      <c r="A35" s="8">
        <v>75</v>
      </c>
      <c r="B35" s="11" t="s">
        <v>463</v>
      </c>
      <c r="C35" s="15" t="s">
        <v>620</v>
      </c>
      <c r="D35" s="8" t="s">
        <v>615</v>
      </c>
      <c r="E35" s="12">
        <v>4</v>
      </c>
      <c r="F35" s="12">
        <v>32</v>
      </c>
      <c r="G35" s="18">
        <f>[1]!Tabela2[[#This Row],[VOL.]]*[1]!Tabela2[[#This Row],[UNID.]]</f>
        <v>192</v>
      </c>
    </row>
    <row r="36" spans="1:7" x14ac:dyDescent="0.25">
      <c r="A36" s="8">
        <v>76</v>
      </c>
      <c r="B36" s="11" t="s">
        <v>463</v>
      </c>
      <c r="C36" s="15" t="s">
        <v>358</v>
      </c>
      <c r="D36" s="8" t="s">
        <v>615</v>
      </c>
      <c r="E36" s="12">
        <v>0</v>
      </c>
      <c r="F36" s="12"/>
      <c r="G36" s="18">
        <f>[1]!Tabela2[[#This Row],[VOL.]]*[1]!Tabela2[[#This Row],[UNID.]]</f>
        <v>0</v>
      </c>
    </row>
    <row r="37" spans="1:7" x14ac:dyDescent="0.25">
      <c r="A37" s="8">
        <v>77</v>
      </c>
      <c r="B37" s="11" t="s">
        <v>463</v>
      </c>
      <c r="C37" s="15" t="s">
        <v>614</v>
      </c>
      <c r="D37" s="8" t="s">
        <v>615</v>
      </c>
      <c r="E37" s="12">
        <v>0</v>
      </c>
      <c r="F37" s="12"/>
      <c r="G37" s="18">
        <f>[1]!Tabela2[[#This Row],[VOL.]]*[1]!Tabela2[[#This Row],[UNID.]]</f>
        <v>128</v>
      </c>
    </row>
    <row r="38" spans="1:7" x14ac:dyDescent="0.25">
      <c r="A38" s="8">
        <v>78</v>
      </c>
      <c r="B38" s="11" t="s">
        <v>463</v>
      </c>
      <c r="C38" s="15" t="s">
        <v>359</v>
      </c>
      <c r="D38" s="8" t="s">
        <v>615</v>
      </c>
      <c r="E38" s="12">
        <v>0</v>
      </c>
      <c r="F38" s="12"/>
      <c r="G38" s="18">
        <f>[1]!Tabela2[[#This Row],[VOL.]]*[1]!Tabela2[[#This Row],[UNID.]]</f>
        <v>0</v>
      </c>
    </row>
    <row r="39" spans="1:7" x14ac:dyDescent="0.25">
      <c r="A39" s="8">
        <v>79</v>
      </c>
      <c r="B39" s="11" t="s">
        <v>463</v>
      </c>
      <c r="C39" s="15" t="s">
        <v>616</v>
      </c>
      <c r="D39" s="8" t="s">
        <v>615</v>
      </c>
      <c r="E39" s="12">
        <v>0</v>
      </c>
      <c r="F39" s="12"/>
      <c r="G39" s="18">
        <f>[1]!Tabela2[[#This Row],[VOL.]]*[1]!Tabela2[[#This Row],[UNID.]]</f>
        <v>0</v>
      </c>
    </row>
    <row r="40" spans="1:7" x14ac:dyDescent="0.25">
      <c r="A40" s="8">
        <v>80</v>
      </c>
      <c r="B40" s="11" t="s">
        <v>463</v>
      </c>
      <c r="C40" s="15" t="s">
        <v>360</v>
      </c>
      <c r="D40" s="8" t="s">
        <v>615</v>
      </c>
      <c r="E40" s="12">
        <v>0</v>
      </c>
      <c r="F40" s="12"/>
      <c r="G40" s="18">
        <f>[1]!Tabela2[[#This Row],[VOL.]]*[1]!Tabela2[[#This Row],[UNID.]]</f>
        <v>0</v>
      </c>
    </row>
    <row r="41" spans="1:7" hidden="1" x14ac:dyDescent="0.25">
      <c r="A41" s="8">
        <v>307</v>
      </c>
      <c r="B41" s="11" t="s">
        <v>464</v>
      </c>
      <c r="C41" s="15" t="s">
        <v>618</v>
      </c>
      <c r="D41" s="8" t="s">
        <v>598</v>
      </c>
      <c r="E41" s="12">
        <v>1</v>
      </c>
      <c r="F41" s="12">
        <v>72</v>
      </c>
      <c r="G41" s="18">
        <f>[1]!Tabela2[[#This Row],[VOL.]]*[1]!Tabela2[[#This Row],[UNID.]]</f>
        <v>0</v>
      </c>
    </row>
    <row r="42" spans="1:7" x14ac:dyDescent="0.25">
      <c r="A42" s="8">
        <v>308</v>
      </c>
      <c r="B42" s="11" t="s">
        <v>464</v>
      </c>
      <c r="C42" s="15" t="s">
        <v>602</v>
      </c>
      <c r="D42" s="8" t="s">
        <v>598</v>
      </c>
      <c r="E42" s="12">
        <v>0</v>
      </c>
      <c r="F42" s="12"/>
      <c r="G42" s="18">
        <f>[1]!Tabela2[[#This Row],[VOL.]]*[1]!Tabela2[[#This Row],[UNID.]]</f>
        <v>0</v>
      </c>
    </row>
    <row r="43" spans="1:7" x14ac:dyDescent="0.25">
      <c r="A43" s="8">
        <v>308</v>
      </c>
      <c r="B43" s="11" t="s">
        <v>464</v>
      </c>
      <c r="C43" s="15" t="s">
        <v>602</v>
      </c>
      <c r="D43" s="8" t="s">
        <v>598</v>
      </c>
      <c r="E43" s="12">
        <v>0</v>
      </c>
      <c r="F43" s="12"/>
      <c r="G43" s="18">
        <f>[1]!Tabela2[[#This Row],[VOL.]]*[1]!Tabela2[[#This Row],[UNID.]]</f>
        <v>72</v>
      </c>
    </row>
    <row r="44" spans="1:7" hidden="1" x14ac:dyDescent="0.25">
      <c r="A44" s="8">
        <v>309</v>
      </c>
      <c r="B44" s="11" t="s">
        <v>464</v>
      </c>
      <c r="C44" s="15" t="s">
        <v>603</v>
      </c>
      <c r="D44" s="8" t="s">
        <v>598</v>
      </c>
      <c r="E44" s="12">
        <v>0</v>
      </c>
      <c r="F44" s="12">
        <v>60</v>
      </c>
      <c r="G44" s="18">
        <f>[1]!Tabela2[[#This Row],[VOL.]]*[1]!Tabela2[[#This Row],[UNID.]]</f>
        <v>0</v>
      </c>
    </row>
    <row r="45" spans="1:7" x14ac:dyDescent="0.25">
      <c r="A45" s="8">
        <v>309</v>
      </c>
      <c r="B45" s="11" t="s">
        <v>464</v>
      </c>
      <c r="C45" s="15" t="s">
        <v>603</v>
      </c>
      <c r="D45" s="8" t="s">
        <v>598</v>
      </c>
      <c r="E45" s="12">
        <v>0</v>
      </c>
      <c r="F45" s="12"/>
      <c r="G45" s="18">
        <f>[1]!Tabela2[[#This Row],[VOL.]]*[1]!Tabela2[[#This Row],[UNID.]]</f>
        <v>0</v>
      </c>
    </row>
    <row r="46" spans="1:7" x14ac:dyDescent="0.25">
      <c r="A46" s="8">
        <v>310</v>
      </c>
      <c r="B46" s="11" t="s">
        <v>464</v>
      </c>
      <c r="C46" s="15" t="s">
        <v>348</v>
      </c>
      <c r="D46" s="8" t="s">
        <v>598</v>
      </c>
      <c r="E46" s="12">
        <v>0</v>
      </c>
      <c r="F46" s="12"/>
      <c r="G46" s="18">
        <f>[1]!Tabela2[[#This Row],[VOL.]]*[1]!Tabela2[[#This Row],[UNID.]]</f>
        <v>0</v>
      </c>
    </row>
    <row r="47" spans="1:7" x14ac:dyDescent="0.25">
      <c r="A47" s="8">
        <v>334</v>
      </c>
      <c r="B47" s="11" t="s">
        <v>465</v>
      </c>
      <c r="C47" s="15" t="s">
        <v>610</v>
      </c>
      <c r="D47" s="8" t="s">
        <v>598</v>
      </c>
      <c r="E47" s="12"/>
      <c r="F47" s="12"/>
      <c r="G47" s="18">
        <f>[1]!Tabela2[[#This Row],[VOL.]]*[1]!Tabela2[[#This Row],[UNID.]]</f>
        <v>0</v>
      </c>
    </row>
    <row r="48" spans="1:7" x14ac:dyDescent="0.25">
      <c r="A48" s="8">
        <v>310</v>
      </c>
      <c r="B48" s="11" t="s">
        <v>464</v>
      </c>
      <c r="C48" s="15" t="s">
        <v>348</v>
      </c>
      <c r="D48" s="8" t="s">
        <v>598</v>
      </c>
      <c r="E48" s="12">
        <v>0</v>
      </c>
      <c r="F48" s="12"/>
      <c r="G48" s="18">
        <f>[1]!Tabela2[[#This Row],[VOL.]]*[1]!Tabela2[[#This Row],[UNID.]]</f>
        <v>0</v>
      </c>
    </row>
    <row r="49" spans="1:7" x14ac:dyDescent="0.25">
      <c r="A49" s="8">
        <v>311</v>
      </c>
      <c r="B49" s="11" t="s">
        <v>466</v>
      </c>
      <c r="C49" s="15" t="s">
        <v>604</v>
      </c>
      <c r="D49" s="8" t="s">
        <v>598</v>
      </c>
      <c r="E49" s="12">
        <v>0</v>
      </c>
      <c r="F49" s="12"/>
      <c r="G49" s="18">
        <f>[1]!Tabela2[[#This Row],[VOL.]]*[1]!Tabela2[[#This Row],[UNID.]]</f>
        <v>0</v>
      </c>
    </row>
    <row r="50" spans="1:7" x14ac:dyDescent="0.25">
      <c r="A50" s="8">
        <v>311</v>
      </c>
      <c r="B50" s="11" t="s">
        <v>466</v>
      </c>
      <c r="C50" s="15" t="s">
        <v>604</v>
      </c>
      <c r="D50" s="8" t="s">
        <v>598</v>
      </c>
      <c r="E50" s="12">
        <v>0</v>
      </c>
      <c r="F50" s="12"/>
      <c r="G50" s="18">
        <f>[1]!Tabela2[[#This Row],[VOL.]]*[1]!Tabela2[[#This Row],[UNID.]]</f>
        <v>0</v>
      </c>
    </row>
    <row r="51" spans="1:7" x14ac:dyDescent="0.25">
      <c r="A51" s="8">
        <v>1818</v>
      </c>
      <c r="B51" s="11" t="s">
        <v>459</v>
      </c>
      <c r="C51" s="15" t="s">
        <v>350</v>
      </c>
      <c r="D51" s="8" t="s">
        <v>608</v>
      </c>
      <c r="E51" s="12"/>
      <c r="F51" s="12"/>
      <c r="G51" s="18">
        <f>[1]!Tabela2[[#This Row],[VOL.]]*[1]!Tabela2[[#This Row],[UNID.]]</f>
        <v>0</v>
      </c>
    </row>
    <row r="52" spans="1:7" x14ac:dyDescent="0.25">
      <c r="A52" s="8">
        <v>312</v>
      </c>
      <c r="B52" s="11" t="s">
        <v>467</v>
      </c>
      <c r="C52" s="15" t="s">
        <v>350</v>
      </c>
      <c r="D52" s="8" t="s">
        <v>598</v>
      </c>
      <c r="E52" s="12">
        <v>0</v>
      </c>
      <c r="F52" s="12"/>
      <c r="G52" s="18">
        <f>[1]!Tabela2[[#This Row],[VOL.]]*[1]!Tabela2[[#This Row],[UNID.]]</f>
        <v>0</v>
      </c>
    </row>
    <row r="53" spans="1:7" x14ac:dyDescent="0.25">
      <c r="A53" s="8">
        <v>312</v>
      </c>
      <c r="B53" s="11" t="s">
        <v>467</v>
      </c>
      <c r="C53" s="15" t="s">
        <v>617</v>
      </c>
      <c r="D53" s="8" t="s">
        <v>598</v>
      </c>
      <c r="E53" s="12">
        <v>0</v>
      </c>
      <c r="F53" s="12"/>
      <c r="G53" s="18">
        <f>[1]!Tabela2[[#This Row],[VOL.]]*[1]!Tabela2[[#This Row],[UNID.]]</f>
        <v>0</v>
      </c>
    </row>
    <row r="54" spans="1:7" hidden="1" x14ac:dyDescent="0.25">
      <c r="A54" s="8">
        <v>313</v>
      </c>
      <c r="B54" s="11" t="s">
        <v>468</v>
      </c>
      <c r="C54" s="15" t="s">
        <v>351</v>
      </c>
      <c r="D54" s="8" t="s">
        <v>598</v>
      </c>
      <c r="E54" s="12">
        <v>2</v>
      </c>
      <c r="F54" s="12">
        <v>50</v>
      </c>
      <c r="G54" s="18">
        <f>[1]!Tabela2[[#This Row],[VOL.]]*[1]!Tabela2[[#This Row],[UNID.]]</f>
        <v>0</v>
      </c>
    </row>
    <row r="55" spans="1:7" hidden="1" x14ac:dyDescent="0.25">
      <c r="A55" s="8">
        <v>313</v>
      </c>
      <c r="B55" s="11" t="s">
        <v>468</v>
      </c>
      <c r="C55" s="15" t="s">
        <v>351</v>
      </c>
      <c r="D55" s="8" t="s">
        <v>598</v>
      </c>
      <c r="E55" s="12">
        <v>0</v>
      </c>
      <c r="F55" s="12">
        <v>50</v>
      </c>
      <c r="G55" s="18">
        <f>[1]!Tabela2[[#This Row],[VOL.]]*[1]!Tabela2[[#This Row],[UNID.]]</f>
        <v>0</v>
      </c>
    </row>
    <row r="56" spans="1:7" hidden="1" x14ac:dyDescent="0.25">
      <c r="A56" s="8">
        <v>314</v>
      </c>
      <c r="B56" s="11" t="s">
        <v>469</v>
      </c>
      <c r="C56" s="15" t="s">
        <v>605</v>
      </c>
      <c r="D56" s="8" t="s">
        <v>598</v>
      </c>
      <c r="E56" s="12">
        <v>1</v>
      </c>
      <c r="F56" s="12">
        <v>50</v>
      </c>
      <c r="G56" s="18">
        <f>[1]!Tabela2[[#This Row],[VOL.]]*[1]!Tabela2[[#This Row],[UNID.]]</f>
        <v>100</v>
      </c>
    </row>
    <row r="57" spans="1:7" hidden="1" x14ac:dyDescent="0.25">
      <c r="A57" s="8">
        <v>314</v>
      </c>
      <c r="B57" s="11" t="s">
        <v>469</v>
      </c>
      <c r="C57" s="15" t="s">
        <v>605</v>
      </c>
      <c r="D57" s="8" t="s">
        <v>598</v>
      </c>
      <c r="E57" s="12">
        <v>0</v>
      </c>
      <c r="F57" s="12">
        <v>50</v>
      </c>
      <c r="G57" s="18">
        <f>[1]!Tabela2[[#This Row],[VOL.]]*[1]!Tabela2[[#This Row],[UNID.]]</f>
        <v>0</v>
      </c>
    </row>
    <row r="58" spans="1:7" x14ac:dyDescent="0.25">
      <c r="A58" s="8">
        <v>315</v>
      </c>
      <c r="B58" s="11" t="s">
        <v>470</v>
      </c>
      <c r="C58" s="15" t="s">
        <v>352</v>
      </c>
      <c r="D58" s="8" t="s">
        <v>598</v>
      </c>
      <c r="E58" s="12">
        <v>0</v>
      </c>
      <c r="F58" s="12"/>
      <c r="G58" s="18">
        <f>[1]!Tabela2[[#This Row],[VOL.]]*[1]!Tabela2[[#This Row],[UNID.]]</f>
        <v>50</v>
      </c>
    </row>
    <row r="59" spans="1:7" x14ac:dyDescent="0.25">
      <c r="A59" s="8">
        <v>315</v>
      </c>
      <c r="B59" s="11" t="s">
        <v>470</v>
      </c>
      <c r="C59" s="15" t="s">
        <v>352</v>
      </c>
      <c r="D59" s="8" t="s">
        <v>598</v>
      </c>
      <c r="E59" s="12">
        <v>0</v>
      </c>
      <c r="F59" s="12"/>
      <c r="G59" s="18">
        <f>[1]!Tabela2[[#This Row],[VOL.]]*[1]!Tabela2[[#This Row],[UNID.]]</f>
        <v>0</v>
      </c>
    </row>
    <row r="60" spans="1:7" x14ac:dyDescent="0.25">
      <c r="A60" s="8">
        <v>316</v>
      </c>
      <c r="B60" s="11" t="s">
        <v>471</v>
      </c>
      <c r="C60" s="15" t="s">
        <v>606</v>
      </c>
      <c r="D60" s="8" t="s">
        <v>598</v>
      </c>
      <c r="E60" s="12">
        <v>0</v>
      </c>
      <c r="F60" s="12"/>
      <c r="G60" s="18">
        <f>[1]!Tabela2[[#This Row],[VOL.]]*[1]!Tabela2[[#This Row],[UNID.]]</f>
        <v>0</v>
      </c>
    </row>
    <row r="61" spans="1:7" x14ac:dyDescent="0.25">
      <c r="A61" s="8">
        <v>316</v>
      </c>
      <c r="B61" s="11" t="s">
        <v>471</v>
      </c>
      <c r="C61" s="15" t="s">
        <v>606</v>
      </c>
      <c r="D61" s="8" t="s">
        <v>598</v>
      </c>
      <c r="E61" s="12">
        <v>0</v>
      </c>
      <c r="F61" s="12"/>
      <c r="G61" s="18">
        <f>[1]!Tabela2[[#This Row],[VOL.]]*[1]!Tabela2[[#This Row],[UNID.]]</f>
        <v>0</v>
      </c>
    </row>
    <row r="62" spans="1:7" x14ac:dyDescent="0.25">
      <c r="A62" s="8">
        <v>317</v>
      </c>
      <c r="B62" s="11" t="s">
        <v>472</v>
      </c>
      <c r="C62" s="15" t="s">
        <v>607</v>
      </c>
      <c r="D62" s="8" t="s">
        <v>598</v>
      </c>
      <c r="E62" s="12">
        <v>0</v>
      </c>
      <c r="F62" s="12"/>
      <c r="G62" s="18">
        <f>[1]!Tabela2[[#This Row],[VOL.]]*[1]!Tabela2[[#This Row],[UNID.]]</f>
        <v>0</v>
      </c>
    </row>
    <row r="63" spans="1:7" x14ac:dyDescent="0.25">
      <c r="A63" s="8">
        <v>1827</v>
      </c>
      <c r="B63" s="11" t="s">
        <v>461</v>
      </c>
      <c r="C63" s="15" t="s">
        <v>351</v>
      </c>
      <c r="D63" s="8" t="s">
        <v>608</v>
      </c>
      <c r="E63" s="12"/>
      <c r="F63" s="12"/>
      <c r="G63" s="18">
        <f>[1]!Tabela2[[#This Row],[VOL.]]*[1]!Tabela2[[#This Row],[UNID.]]</f>
        <v>0</v>
      </c>
    </row>
    <row r="64" spans="1:7" x14ac:dyDescent="0.25">
      <c r="A64" s="8">
        <v>317</v>
      </c>
      <c r="B64" s="11" t="s">
        <v>472</v>
      </c>
      <c r="C64" s="15" t="s">
        <v>607</v>
      </c>
      <c r="D64" s="8" t="s">
        <v>598</v>
      </c>
      <c r="E64" s="12">
        <v>0</v>
      </c>
      <c r="F64" s="12"/>
      <c r="G64" s="18">
        <f>[1]!Tabela2[[#This Row],[VOL.]]*[1]!Tabela2[[#This Row],[UNID.]]</f>
        <v>0</v>
      </c>
    </row>
    <row r="65" spans="1:7" x14ac:dyDescent="0.25">
      <c r="A65" s="8">
        <v>318</v>
      </c>
      <c r="B65" s="11" t="s">
        <v>473</v>
      </c>
      <c r="C65" s="15" t="s">
        <v>355</v>
      </c>
      <c r="D65" s="8" t="s">
        <v>598</v>
      </c>
      <c r="E65" s="12">
        <v>0</v>
      </c>
      <c r="F65" s="12"/>
      <c r="G65" s="18">
        <f>[1]!Tabela2[[#This Row],[VOL.]]*[1]!Tabela2[[#This Row],[UNID.]]</f>
        <v>0</v>
      </c>
    </row>
    <row r="66" spans="1:7" x14ac:dyDescent="0.25">
      <c r="A66" s="8">
        <v>318</v>
      </c>
      <c r="B66" s="11" t="s">
        <v>473</v>
      </c>
      <c r="C66" s="15" t="s">
        <v>355</v>
      </c>
      <c r="D66" s="8" t="s">
        <v>598</v>
      </c>
      <c r="E66" s="12">
        <v>0</v>
      </c>
      <c r="F66" s="12"/>
      <c r="G66" s="18">
        <f>[1]!Tabela2[[#This Row],[VOL.]]*[1]!Tabela2[[#This Row],[UNID.]]</f>
        <v>0</v>
      </c>
    </row>
    <row r="67" spans="1:7" hidden="1" x14ac:dyDescent="0.25">
      <c r="A67" s="8">
        <v>319</v>
      </c>
      <c r="B67" s="11" t="s">
        <v>474</v>
      </c>
      <c r="C67" s="15" t="s">
        <v>609</v>
      </c>
      <c r="D67" s="8" t="s">
        <v>598</v>
      </c>
      <c r="E67" s="12">
        <v>0</v>
      </c>
      <c r="F67" s="12">
        <v>40</v>
      </c>
      <c r="G67" s="18">
        <f>[1]!Tabela2[[#This Row],[VOL.]]*[1]!Tabela2[[#This Row],[UNID.]]</f>
        <v>0</v>
      </c>
    </row>
    <row r="68" spans="1:7" x14ac:dyDescent="0.25">
      <c r="A68" s="8">
        <v>319</v>
      </c>
      <c r="B68" s="11" t="s">
        <v>474</v>
      </c>
      <c r="C68" s="15" t="s">
        <v>609</v>
      </c>
      <c r="D68" s="8" t="s">
        <v>598</v>
      </c>
      <c r="E68" s="12">
        <v>0</v>
      </c>
      <c r="F68" s="12"/>
      <c r="G68" s="18">
        <f>[1]!Tabela2[[#This Row],[VOL.]]*[1]!Tabela2[[#This Row],[UNID.]]</f>
        <v>0</v>
      </c>
    </row>
    <row r="69" spans="1:7" hidden="1" x14ac:dyDescent="0.25">
      <c r="A69" s="8">
        <v>320</v>
      </c>
      <c r="B69" s="11" t="s">
        <v>475</v>
      </c>
      <c r="C69" s="15" t="s">
        <v>610</v>
      </c>
      <c r="D69" s="8" t="s">
        <v>598</v>
      </c>
      <c r="E69" s="12">
        <v>0</v>
      </c>
      <c r="F69" s="12">
        <v>32</v>
      </c>
      <c r="G69" s="18">
        <f>[1]!Tabela2[[#This Row],[VOL.]]*[1]!Tabela2[[#This Row],[UNID.]]</f>
        <v>0</v>
      </c>
    </row>
    <row r="70" spans="1:7" x14ac:dyDescent="0.25">
      <c r="A70" s="8">
        <v>320</v>
      </c>
      <c r="B70" s="11" t="s">
        <v>475</v>
      </c>
      <c r="C70" s="15" t="s">
        <v>610</v>
      </c>
      <c r="D70" s="8" t="s">
        <v>598</v>
      </c>
      <c r="E70" s="12">
        <v>0</v>
      </c>
      <c r="F70" s="12"/>
      <c r="G70" s="18">
        <f>[1]!Tabela2[[#This Row],[VOL.]]*[1]!Tabela2[[#This Row],[UNID.]]</f>
        <v>0</v>
      </c>
    </row>
    <row r="71" spans="1:7" hidden="1" x14ac:dyDescent="0.25">
      <c r="A71" s="8">
        <v>321</v>
      </c>
      <c r="B71" s="11" t="s">
        <v>476</v>
      </c>
      <c r="C71" s="15" t="s">
        <v>618</v>
      </c>
      <c r="D71" s="8" t="s">
        <v>598</v>
      </c>
      <c r="E71" s="12">
        <v>0</v>
      </c>
      <c r="F71" s="12">
        <v>72</v>
      </c>
      <c r="G71" s="18">
        <f>[1]!Tabela2[[#This Row],[VOL.]]*[1]!Tabela2[[#This Row],[UNID.]]</f>
        <v>0</v>
      </c>
    </row>
    <row r="72" spans="1:7" hidden="1" x14ac:dyDescent="0.25">
      <c r="A72" s="8">
        <v>321</v>
      </c>
      <c r="B72" s="11" t="s">
        <v>476</v>
      </c>
      <c r="C72" s="15" t="s">
        <v>618</v>
      </c>
      <c r="D72" s="8" t="s">
        <v>598</v>
      </c>
      <c r="E72" s="12">
        <v>0</v>
      </c>
      <c r="F72" s="12">
        <v>72</v>
      </c>
      <c r="G72" s="18">
        <f>[1]!Tabela2[[#This Row],[VOL.]]*[1]!Tabela2[[#This Row],[UNID.]]</f>
        <v>0</v>
      </c>
    </row>
    <row r="73" spans="1:7" hidden="1" x14ac:dyDescent="0.25">
      <c r="A73" s="8">
        <v>322</v>
      </c>
      <c r="B73" s="11" t="s">
        <v>476</v>
      </c>
      <c r="C73" s="15" t="s">
        <v>602</v>
      </c>
      <c r="D73" s="8" t="s">
        <v>598</v>
      </c>
      <c r="E73" s="12">
        <v>0</v>
      </c>
      <c r="F73" s="12">
        <v>72</v>
      </c>
      <c r="G73" s="18">
        <f>[1]!Tabela2[[#This Row],[VOL.]]*[1]!Tabela2[[#This Row],[UNID.]]</f>
        <v>0</v>
      </c>
    </row>
    <row r="74" spans="1:7" hidden="1" x14ac:dyDescent="0.25">
      <c r="A74" s="8">
        <v>322</v>
      </c>
      <c r="B74" s="11" t="s">
        <v>476</v>
      </c>
      <c r="C74" s="15" t="s">
        <v>602</v>
      </c>
      <c r="D74" s="8" t="s">
        <v>598</v>
      </c>
      <c r="E74" s="12">
        <v>0</v>
      </c>
      <c r="F74" s="12">
        <v>72</v>
      </c>
      <c r="G74" s="18">
        <f>[1]!Tabela2[[#This Row],[VOL.]]*[1]!Tabela2[[#This Row],[UNID.]]</f>
        <v>0</v>
      </c>
    </row>
    <row r="75" spans="1:7" hidden="1" x14ac:dyDescent="0.25">
      <c r="A75" s="8">
        <v>323</v>
      </c>
      <c r="B75" s="11" t="s">
        <v>476</v>
      </c>
      <c r="C75" s="15" t="s">
        <v>603</v>
      </c>
      <c r="D75" s="8" t="s">
        <v>598</v>
      </c>
      <c r="E75" s="12">
        <v>0</v>
      </c>
      <c r="F75" s="12">
        <v>60</v>
      </c>
      <c r="G75" s="18">
        <f>[1]!Tabela2[[#This Row],[VOL.]]*[1]!Tabela2[[#This Row],[UNID.]]</f>
        <v>0</v>
      </c>
    </row>
    <row r="76" spans="1:7" x14ac:dyDescent="0.25">
      <c r="A76" s="8">
        <v>323</v>
      </c>
      <c r="B76" s="11" t="s">
        <v>476</v>
      </c>
      <c r="C76" s="15" t="s">
        <v>603</v>
      </c>
      <c r="D76" s="8" t="s">
        <v>598</v>
      </c>
      <c r="E76" s="12">
        <v>0</v>
      </c>
      <c r="F76" s="12"/>
      <c r="G76" s="18">
        <f>[1]!Tabela2[[#This Row],[VOL.]]*[1]!Tabela2[[#This Row],[UNID.]]</f>
        <v>0</v>
      </c>
    </row>
    <row r="77" spans="1:7" hidden="1" x14ac:dyDescent="0.25">
      <c r="A77" s="8">
        <v>324</v>
      </c>
      <c r="B77" s="11" t="s">
        <v>476</v>
      </c>
      <c r="C77" s="15" t="s">
        <v>348</v>
      </c>
      <c r="D77" s="8" t="s">
        <v>598</v>
      </c>
      <c r="E77" s="12">
        <v>0</v>
      </c>
      <c r="F77" s="12">
        <v>60</v>
      </c>
      <c r="G77" s="18">
        <f>[1]!Tabela2[[#This Row],[VOL.]]*[1]!Tabela2[[#This Row],[UNID.]]</f>
        <v>0</v>
      </c>
    </row>
    <row r="78" spans="1:7" hidden="1" x14ac:dyDescent="0.25">
      <c r="A78" s="8">
        <v>324</v>
      </c>
      <c r="B78" s="11" t="s">
        <v>476</v>
      </c>
      <c r="C78" s="15" t="s">
        <v>619</v>
      </c>
      <c r="D78" s="8" t="s">
        <v>598</v>
      </c>
      <c r="E78" s="12">
        <v>0</v>
      </c>
      <c r="F78" s="12">
        <v>60</v>
      </c>
      <c r="G78" s="18">
        <f>[1]!Tabela2[[#This Row],[VOL.]]*[1]!Tabela2[[#This Row],[UNID.]]</f>
        <v>0</v>
      </c>
    </row>
    <row r="79" spans="1:7" x14ac:dyDescent="0.25">
      <c r="A79" s="8">
        <v>325</v>
      </c>
      <c r="B79" s="11" t="s">
        <v>476</v>
      </c>
      <c r="C79" s="15" t="s">
        <v>604</v>
      </c>
      <c r="D79" s="8" t="s">
        <v>598</v>
      </c>
      <c r="E79" s="12">
        <v>0</v>
      </c>
      <c r="F79" s="12"/>
      <c r="G79" s="18">
        <f>[1]!Tabela2[[#This Row],[VOL.]]*[1]!Tabela2[[#This Row],[UNID.]]</f>
        <v>0</v>
      </c>
    </row>
    <row r="80" spans="1:7" hidden="1" x14ac:dyDescent="0.25">
      <c r="A80" s="8">
        <v>325</v>
      </c>
      <c r="B80" s="11" t="s">
        <v>476</v>
      </c>
      <c r="C80" s="15" t="s">
        <v>604</v>
      </c>
      <c r="D80" s="8" t="s">
        <v>598</v>
      </c>
      <c r="E80" s="12">
        <v>0</v>
      </c>
      <c r="F80" s="12">
        <v>50</v>
      </c>
      <c r="G80" s="18">
        <f>[1]!Tabela2[[#This Row],[VOL.]]*[1]!Tabela2[[#This Row],[UNID.]]</f>
        <v>0</v>
      </c>
    </row>
    <row r="81" spans="1:7" hidden="1" x14ac:dyDescent="0.25">
      <c r="A81" s="8">
        <v>326</v>
      </c>
      <c r="B81" s="11" t="s">
        <v>477</v>
      </c>
      <c r="C81" s="15" t="s">
        <v>350</v>
      </c>
      <c r="D81" s="8" t="s">
        <v>598</v>
      </c>
      <c r="E81" s="12">
        <v>0</v>
      </c>
      <c r="F81" s="12">
        <v>50</v>
      </c>
      <c r="G81" s="18">
        <f>[1]!Tabela2[[#This Row],[VOL.]]*[1]!Tabela2[[#This Row],[UNID.]]</f>
        <v>0</v>
      </c>
    </row>
    <row r="82" spans="1:7" hidden="1" x14ac:dyDescent="0.25">
      <c r="A82" s="8">
        <v>326</v>
      </c>
      <c r="B82" s="11" t="s">
        <v>476</v>
      </c>
      <c r="C82" s="15" t="s">
        <v>350</v>
      </c>
      <c r="D82" s="8" t="s">
        <v>598</v>
      </c>
      <c r="E82" s="12">
        <v>0</v>
      </c>
      <c r="F82" s="12">
        <v>50</v>
      </c>
      <c r="G82" s="18">
        <f>[1]!Tabela2[[#This Row],[VOL.]]*[1]!Tabela2[[#This Row],[UNID.]]</f>
        <v>50</v>
      </c>
    </row>
    <row r="83" spans="1:7" x14ac:dyDescent="0.25">
      <c r="A83" s="8">
        <v>81</v>
      </c>
      <c r="B83" s="11" t="s">
        <v>478</v>
      </c>
      <c r="C83" s="15" t="s">
        <v>605</v>
      </c>
      <c r="D83" s="8" t="s">
        <v>598</v>
      </c>
      <c r="E83" s="12"/>
      <c r="F83" s="12"/>
      <c r="G83" s="18">
        <f>[1]!Tabela2[[#This Row],[VOL.]]*[1]!Tabela2[[#This Row],[UNID.]]</f>
        <v>0</v>
      </c>
    </row>
    <row r="84" spans="1:7" hidden="1" x14ac:dyDescent="0.25">
      <c r="A84" s="8">
        <v>82</v>
      </c>
      <c r="B84" s="11" t="s">
        <v>478</v>
      </c>
      <c r="C84" s="15" t="s">
        <v>352</v>
      </c>
      <c r="D84" s="8" t="s">
        <v>598</v>
      </c>
      <c r="E84" s="12">
        <v>0</v>
      </c>
      <c r="F84" s="12">
        <v>33</v>
      </c>
      <c r="G84" s="18">
        <f>[1]!Tabela2[[#This Row],[VOL.]]*[1]!Tabela2[[#This Row],[UNID.]]</f>
        <v>0</v>
      </c>
    </row>
    <row r="85" spans="1:7" x14ac:dyDescent="0.25">
      <c r="A85" s="8">
        <v>83</v>
      </c>
      <c r="B85" s="11" t="s">
        <v>478</v>
      </c>
      <c r="C85" s="15" t="s">
        <v>606</v>
      </c>
      <c r="D85" s="8" t="s">
        <v>598</v>
      </c>
      <c r="E85" s="12">
        <v>0</v>
      </c>
      <c r="F85" s="12"/>
      <c r="G85" s="18">
        <f>[1]!Tabela2[[#This Row],[VOL.]]*[1]!Tabela2[[#This Row],[UNID.]]</f>
        <v>0</v>
      </c>
    </row>
    <row r="86" spans="1:7" hidden="1" x14ac:dyDescent="0.25">
      <c r="A86" s="8">
        <v>84</v>
      </c>
      <c r="B86" s="11" t="s">
        <v>479</v>
      </c>
      <c r="C86" s="15" t="s">
        <v>607</v>
      </c>
      <c r="D86" s="8" t="s">
        <v>598</v>
      </c>
      <c r="E86" s="12">
        <v>0</v>
      </c>
      <c r="F86" s="12">
        <v>36</v>
      </c>
      <c r="G86" s="18">
        <f>[1]!Tabela2[[#This Row],[VOL.]]*[1]!Tabela2[[#This Row],[UNID.]]</f>
        <v>0</v>
      </c>
    </row>
    <row r="87" spans="1:7" hidden="1" x14ac:dyDescent="0.25">
      <c r="A87" s="8">
        <v>85</v>
      </c>
      <c r="B87" s="11" t="s">
        <v>480</v>
      </c>
      <c r="C87" s="15" t="s">
        <v>355</v>
      </c>
      <c r="D87" s="8" t="s">
        <v>598</v>
      </c>
      <c r="E87" s="12">
        <v>2</v>
      </c>
      <c r="F87" s="12">
        <v>36</v>
      </c>
      <c r="G87" s="18">
        <f>[1]!Tabela2[[#This Row],[VOL.]]*[1]!Tabela2[[#This Row],[UNID.]]</f>
        <v>72</v>
      </c>
    </row>
    <row r="88" spans="1:7" hidden="1" x14ac:dyDescent="0.25">
      <c r="A88" s="8">
        <v>86</v>
      </c>
      <c r="B88" s="11" t="s">
        <v>481</v>
      </c>
      <c r="C88" s="15" t="s">
        <v>609</v>
      </c>
      <c r="D88" s="8" t="s">
        <v>598</v>
      </c>
      <c r="E88" s="12">
        <v>0</v>
      </c>
      <c r="F88" s="12">
        <v>30</v>
      </c>
      <c r="G88" s="18">
        <f>[1]!Tabela2[[#This Row],[VOL.]]*[1]!Tabela2[[#This Row],[UNID.]]</f>
        <v>72</v>
      </c>
    </row>
    <row r="89" spans="1:7" x14ac:dyDescent="0.25">
      <c r="A89" s="8">
        <v>87</v>
      </c>
      <c r="B89" s="11" t="s">
        <v>482</v>
      </c>
      <c r="C89" s="15" t="s">
        <v>610</v>
      </c>
      <c r="D89" s="8" t="s">
        <v>598</v>
      </c>
      <c r="E89" s="12">
        <v>0</v>
      </c>
      <c r="F89" s="12">
        <v>30</v>
      </c>
      <c r="G89" s="18">
        <f>[1]!Tabela2[[#This Row],[VOL.]]*[1]!Tabela2[[#This Row],[UNID.]]</f>
        <v>0</v>
      </c>
    </row>
    <row r="90" spans="1:7" hidden="1" x14ac:dyDescent="0.25">
      <c r="A90" s="8">
        <v>88</v>
      </c>
      <c r="B90" s="11" t="s">
        <v>483</v>
      </c>
      <c r="C90" s="15" t="s">
        <v>611</v>
      </c>
      <c r="D90" s="8" t="s">
        <v>598</v>
      </c>
      <c r="E90" s="12">
        <v>0</v>
      </c>
      <c r="F90" s="12">
        <v>30</v>
      </c>
      <c r="G90" s="18">
        <f>[1]!Tabela2[[#This Row],[VOL.]]*[1]!Tabela2[[#This Row],[UNID.]]</f>
        <v>0</v>
      </c>
    </row>
    <row r="91" spans="1:7" hidden="1" x14ac:dyDescent="0.25">
      <c r="A91" s="8">
        <v>89</v>
      </c>
      <c r="B91" s="11" t="s">
        <v>484</v>
      </c>
      <c r="C91" s="15" t="s">
        <v>356</v>
      </c>
      <c r="D91" s="8" t="s">
        <v>598</v>
      </c>
      <c r="E91" s="12">
        <v>4</v>
      </c>
      <c r="F91" s="12">
        <v>30</v>
      </c>
      <c r="G91" s="18">
        <f>[1]!Tabela2[[#This Row],[VOL.]]*[1]!Tabela2[[#This Row],[UNID.]]</f>
        <v>0</v>
      </c>
    </row>
    <row r="92" spans="1:7" x14ac:dyDescent="0.25">
      <c r="A92" s="8">
        <v>90</v>
      </c>
      <c r="B92" s="11" t="s">
        <v>485</v>
      </c>
      <c r="C92" s="15" t="s">
        <v>612</v>
      </c>
      <c r="D92" s="8" t="s">
        <v>598</v>
      </c>
      <c r="E92" s="12">
        <v>0</v>
      </c>
      <c r="F92" s="12">
        <v>30</v>
      </c>
      <c r="G92" s="18">
        <f>[1]!Tabela2[[#This Row],[VOL.]]*[1]!Tabela2[[#This Row],[UNID.]]</f>
        <v>120</v>
      </c>
    </row>
    <row r="93" spans="1:7" x14ac:dyDescent="0.25">
      <c r="A93" s="8">
        <v>91</v>
      </c>
      <c r="B93" s="11" t="s">
        <v>486</v>
      </c>
      <c r="C93" s="15" t="s">
        <v>357</v>
      </c>
      <c r="D93" s="8" t="s">
        <v>598</v>
      </c>
      <c r="E93" s="12">
        <v>0</v>
      </c>
      <c r="F93" s="12">
        <v>30</v>
      </c>
      <c r="G93" s="18">
        <f>[1]!Tabela2[[#This Row],[VOL.]]*[1]!Tabela2[[#This Row],[UNID.]]</f>
        <v>0</v>
      </c>
    </row>
    <row r="94" spans="1:7" x14ac:dyDescent="0.25">
      <c r="A94" s="8">
        <v>92</v>
      </c>
      <c r="B94" s="11" t="s">
        <v>487</v>
      </c>
      <c r="C94" s="15" t="s">
        <v>613</v>
      </c>
      <c r="D94" s="8" t="s">
        <v>598</v>
      </c>
      <c r="E94" s="12">
        <v>0</v>
      </c>
      <c r="F94" s="12">
        <v>30</v>
      </c>
      <c r="G94" s="18">
        <f>[1]!Tabela2[[#This Row],[VOL.]]*[1]!Tabela2[[#This Row],[UNID.]]</f>
        <v>0</v>
      </c>
    </row>
    <row r="95" spans="1:7" x14ac:dyDescent="0.25">
      <c r="A95" s="8">
        <v>93</v>
      </c>
      <c r="B95" s="11" t="s">
        <v>488</v>
      </c>
      <c r="C95" s="15" t="s">
        <v>620</v>
      </c>
      <c r="D95" s="8" t="s">
        <v>598</v>
      </c>
      <c r="E95" s="12">
        <v>0</v>
      </c>
      <c r="F95" s="12">
        <v>25</v>
      </c>
      <c r="G95" s="18">
        <f>[1]!Tabela2[[#This Row],[VOL.]]*[1]!Tabela2[[#This Row],[UNID.]]</f>
        <v>0</v>
      </c>
    </row>
    <row r="96" spans="1:7" hidden="1" x14ac:dyDescent="0.25">
      <c r="A96" s="8">
        <v>94</v>
      </c>
      <c r="B96" s="11" t="s">
        <v>489</v>
      </c>
      <c r="C96" s="15" t="s">
        <v>358</v>
      </c>
      <c r="D96" s="8" t="s">
        <v>598</v>
      </c>
      <c r="E96" s="12">
        <v>2</v>
      </c>
      <c r="F96" s="12">
        <v>25</v>
      </c>
      <c r="G96" s="18">
        <f>[1]!Tabela2[[#This Row],[VOL.]]*[1]!Tabela2[[#This Row],[UNID.]]</f>
        <v>0</v>
      </c>
    </row>
    <row r="97" spans="1:7" x14ac:dyDescent="0.25">
      <c r="A97" s="8">
        <v>95</v>
      </c>
      <c r="B97" s="11" t="s">
        <v>490</v>
      </c>
      <c r="C97" s="15" t="s">
        <v>614</v>
      </c>
      <c r="D97" s="8" t="s">
        <v>598</v>
      </c>
      <c r="E97" s="12">
        <v>0</v>
      </c>
      <c r="F97" s="12">
        <v>25</v>
      </c>
      <c r="G97" s="18">
        <f>[1]!Tabela2[[#This Row],[VOL.]]*[1]!Tabela2[[#This Row],[UNID.]]</f>
        <v>50</v>
      </c>
    </row>
    <row r="98" spans="1:7" hidden="1" x14ac:dyDescent="0.25">
      <c r="A98" s="8">
        <v>96</v>
      </c>
      <c r="B98" s="11" t="s">
        <v>491</v>
      </c>
      <c r="C98" s="15" t="s">
        <v>359</v>
      </c>
      <c r="D98" s="8" t="s">
        <v>598</v>
      </c>
      <c r="E98" s="12">
        <v>3</v>
      </c>
      <c r="F98" s="12">
        <v>20</v>
      </c>
      <c r="G98" s="18">
        <v>20</v>
      </c>
    </row>
    <row r="99" spans="1:7" x14ac:dyDescent="0.25">
      <c r="A99" s="8">
        <v>97</v>
      </c>
      <c r="B99" s="11" t="s">
        <v>492</v>
      </c>
      <c r="C99" s="15" t="s">
        <v>616</v>
      </c>
      <c r="D99" s="8" t="s">
        <v>598</v>
      </c>
      <c r="E99" s="12">
        <v>0</v>
      </c>
      <c r="F99" s="12">
        <v>30</v>
      </c>
      <c r="G99" s="18">
        <f>[1]!Tabela2[[#This Row],[VOL.]]*[1]!Tabela2[[#This Row],[UNID.]]</f>
        <v>0</v>
      </c>
    </row>
    <row r="100" spans="1:7" hidden="1" x14ac:dyDescent="0.25">
      <c r="A100" s="8">
        <v>357</v>
      </c>
      <c r="B100" s="11" t="s">
        <v>493</v>
      </c>
      <c r="C100" s="15" t="s">
        <v>355</v>
      </c>
      <c r="D100" s="8" t="s">
        <v>598</v>
      </c>
      <c r="E100" s="12">
        <v>0</v>
      </c>
      <c r="F100" s="12">
        <v>36</v>
      </c>
      <c r="G100" s="18">
        <f>[1]!Tabela2[[#This Row],[VOL.]]*[1]!Tabela2[[#This Row],[UNID.]]</f>
        <v>0</v>
      </c>
    </row>
    <row r="101" spans="1:7" x14ac:dyDescent="0.25">
      <c r="A101" s="8">
        <v>358</v>
      </c>
      <c r="B101" s="11" t="s">
        <v>493</v>
      </c>
      <c r="C101" s="15" t="s">
        <v>609</v>
      </c>
      <c r="D101" s="8" t="s">
        <v>598</v>
      </c>
      <c r="E101" s="12">
        <v>0</v>
      </c>
      <c r="F101" s="12">
        <v>30</v>
      </c>
      <c r="G101" s="18">
        <f>[1]!Tabela2[[#This Row],[VOL.]]*[1]!Tabela2[[#This Row],[UNID.]]</f>
        <v>0</v>
      </c>
    </row>
    <row r="102" spans="1:7" x14ac:dyDescent="0.25">
      <c r="A102" s="8">
        <v>261</v>
      </c>
      <c r="B102" s="11" t="s">
        <v>493</v>
      </c>
      <c r="C102" s="15" t="s">
        <v>610</v>
      </c>
      <c r="D102" s="8" t="s">
        <v>598</v>
      </c>
      <c r="E102" s="12">
        <v>0</v>
      </c>
      <c r="F102" s="12">
        <v>30</v>
      </c>
      <c r="G102" s="18">
        <f>[1]!Tabela2[[#This Row],[VOL.]]*[1]!Tabela2[[#This Row],[UNID.]]</f>
        <v>0</v>
      </c>
    </row>
    <row r="103" spans="1:7" x14ac:dyDescent="0.25">
      <c r="A103" s="8">
        <v>262</v>
      </c>
      <c r="B103" s="11" t="s">
        <v>494</v>
      </c>
      <c r="C103" s="15" t="s">
        <v>611</v>
      </c>
      <c r="D103" s="8" t="s">
        <v>598</v>
      </c>
      <c r="E103" s="12">
        <v>0</v>
      </c>
      <c r="F103" s="12">
        <v>30</v>
      </c>
      <c r="G103" s="18">
        <f>[1]!Tabela2[[#This Row],[VOL.]]*[1]!Tabela2[[#This Row],[UNID.]]</f>
        <v>0</v>
      </c>
    </row>
    <row r="104" spans="1:7" hidden="1" x14ac:dyDescent="0.25">
      <c r="A104" s="8">
        <v>263</v>
      </c>
      <c r="B104" s="11" t="s">
        <v>495</v>
      </c>
      <c r="C104" s="15" t="s">
        <v>356</v>
      </c>
      <c r="D104" s="8" t="s">
        <v>598</v>
      </c>
      <c r="E104" s="12">
        <v>1</v>
      </c>
      <c r="F104" s="12">
        <v>30</v>
      </c>
      <c r="G104" s="18">
        <f>[1]!Tabela2[[#This Row],[VOL.]]*[1]!Tabela2[[#This Row],[UNID.]]</f>
        <v>0</v>
      </c>
    </row>
    <row r="105" spans="1:7" hidden="1" x14ac:dyDescent="0.25">
      <c r="A105" s="8">
        <v>264</v>
      </c>
      <c r="B105" s="11" t="s">
        <v>496</v>
      </c>
      <c r="C105" s="15" t="s">
        <v>612</v>
      </c>
      <c r="D105" s="8" t="s">
        <v>598</v>
      </c>
      <c r="E105" s="12">
        <v>0</v>
      </c>
      <c r="F105" s="12">
        <v>20</v>
      </c>
      <c r="G105" s="18">
        <f>[1]!Tabela2[[#This Row],[VOL.]]*[1]!Tabela2[[#This Row],[UNID.]]</f>
        <v>30</v>
      </c>
    </row>
    <row r="106" spans="1:7" x14ac:dyDescent="0.25">
      <c r="A106" s="8">
        <v>265</v>
      </c>
      <c r="B106" s="11" t="s">
        <v>497</v>
      </c>
      <c r="C106" s="15" t="s">
        <v>357</v>
      </c>
      <c r="D106" s="8" t="s">
        <v>598</v>
      </c>
      <c r="E106" s="12">
        <v>0</v>
      </c>
      <c r="F106" s="12">
        <v>30</v>
      </c>
      <c r="G106" s="18">
        <f>[1]!Tabela2[[#This Row],[VOL.]]*[1]!Tabela2[[#This Row],[UNID.]]</f>
        <v>0</v>
      </c>
    </row>
    <row r="107" spans="1:7" hidden="1" x14ac:dyDescent="0.25">
      <c r="A107" s="8">
        <v>266</v>
      </c>
      <c r="B107" s="11" t="s">
        <v>498</v>
      </c>
      <c r="C107" s="15" t="s">
        <v>613</v>
      </c>
      <c r="D107" s="8" t="s">
        <v>598</v>
      </c>
      <c r="E107" s="12">
        <v>0</v>
      </c>
      <c r="F107" s="12">
        <v>30</v>
      </c>
      <c r="G107" s="18">
        <f>[1]!Tabela2[[#This Row],[VOL.]]*[1]!Tabela2[[#This Row],[UNID.]]</f>
        <v>0</v>
      </c>
    </row>
    <row r="108" spans="1:7" x14ac:dyDescent="0.25">
      <c r="A108" s="8">
        <v>267</v>
      </c>
      <c r="B108" s="11" t="s">
        <v>499</v>
      </c>
      <c r="C108" s="15" t="s">
        <v>620</v>
      </c>
      <c r="D108" s="8" t="s">
        <v>598</v>
      </c>
      <c r="E108" s="12">
        <v>0</v>
      </c>
      <c r="F108" s="12">
        <v>25</v>
      </c>
      <c r="G108" s="18">
        <f>[1]!Tabela2[[#This Row],[VOL.]]*[1]!Tabela2[[#This Row],[UNID.]]</f>
        <v>0</v>
      </c>
    </row>
    <row r="109" spans="1:7" x14ac:dyDescent="0.25">
      <c r="A109" s="8">
        <v>268</v>
      </c>
      <c r="B109" s="11" t="s">
        <v>500</v>
      </c>
      <c r="C109" s="15" t="s">
        <v>358</v>
      </c>
      <c r="D109" s="8" t="s">
        <v>598</v>
      </c>
      <c r="E109" s="12">
        <v>0</v>
      </c>
      <c r="F109" s="12">
        <v>25</v>
      </c>
      <c r="G109" s="18">
        <f>[1]!Tabela2[[#This Row],[VOL.]]*[1]!Tabela2[[#This Row],[UNID.]]</f>
        <v>0</v>
      </c>
    </row>
    <row r="110" spans="1:7" x14ac:dyDescent="0.25">
      <c r="A110" s="8">
        <v>269</v>
      </c>
      <c r="B110" s="11" t="s">
        <v>501</v>
      </c>
      <c r="C110" s="15" t="s">
        <v>614</v>
      </c>
      <c r="D110" s="8" t="s">
        <v>598</v>
      </c>
      <c r="E110" s="12">
        <v>0</v>
      </c>
      <c r="F110" s="12"/>
      <c r="G110" s="18">
        <f>[1]!Tabela2[[#This Row],[VOL.]]*[1]!Tabela2[[#This Row],[UNID.]]</f>
        <v>0</v>
      </c>
    </row>
    <row r="111" spans="1:7" x14ac:dyDescent="0.25">
      <c r="A111" s="8">
        <v>270</v>
      </c>
      <c r="B111" s="11" t="s">
        <v>502</v>
      </c>
      <c r="C111" s="15" t="s">
        <v>621</v>
      </c>
      <c r="D111" s="8" t="s">
        <v>598</v>
      </c>
      <c r="E111" s="12">
        <v>0</v>
      </c>
      <c r="F111" s="12"/>
      <c r="G111" s="18">
        <f>[1]!Tabela2[[#This Row],[VOL.]]*[1]!Tabela2[[#This Row],[UNID.]]</f>
        <v>0</v>
      </c>
    </row>
    <row r="112" spans="1:7" x14ac:dyDescent="0.25">
      <c r="A112" s="8">
        <v>271</v>
      </c>
      <c r="B112" s="11" t="s">
        <v>503</v>
      </c>
      <c r="C112" s="15" t="s">
        <v>359</v>
      </c>
      <c r="D112" s="8" t="s">
        <v>598</v>
      </c>
      <c r="E112" s="12">
        <v>0</v>
      </c>
      <c r="F112" s="12"/>
      <c r="G112" s="18">
        <f>[1]!Tabela2[[#This Row],[VOL.]]*[1]!Tabela2[[#This Row],[UNID.]]</f>
        <v>0</v>
      </c>
    </row>
    <row r="113" spans="1:7" x14ac:dyDescent="0.25">
      <c r="A113" s="8">
        <v>272</v>
      </c>
      <c r="B113" s="11" t="s">
        <v>503</v>
      </c>
      <c r="C113" s="15" t="s">
        <v>616</v>
      </c>
      <c r="D113" s="8" t="s">
        <v>598</v>
      </c>
      <c r="E113" s="12">
        <v>0</v>
      </c>
      <c r="F113" s="12"/>
      <c r="G113" s="18">
        <f>[1]!Tabela2[[#This Row],[VOL.]]*[1]!Tabela2[[#This Row],[UNID.]]</f>
        <v>0</v>
      </c>
    </row>
    <row r="114" spans="1:7" hidden="1" x14ac:dyDescent="0.25">
      <c r="A114" s="8">
        <v>273</v>
      </c>
      <c r="B114" s="11" t="s">
        <v>504</v>
      </c>
      <c r="C114" s="15" t="s">
        <v>355</v>
      </c>
      <c r="D114" s="8" t="s">
        <v>598</v>
      </c>
      <c r="E114" s="12">
        <v>0</v>
      </c>
      <c r="F114" s="12">
        <v>36</v>
      </c>
      <c r="G114" s="18">
        <f>[1]!Tabela2[[#This Row],[VOL.]]*[1]!Tabela2[[#This Row],[UNID.]]</f>
        <v>0</v>
      </c>
    </row>
    <row r="115" spans="1:7" x14ac:dyDescent="0.25">
      <c r="A115" s="8">
        <v>274</v>
      </c>
      <c r="B115" s="11" t="s">
        <v>504</v>
      </c>
      <c r="C115" s="15" t="s">
        <v>609</v>
      </c>
      <c r="D115" s="8" t="s">
        <v>598</v>
      </c>
      <c r="E115" s="12">
        <v>0</v>
      </c>
      <c r="F115" s="12">
        <v>36</v>
      </c>
      <c r="G115" s="18">
        <f>[1]!Tabela2[[#This Row],[VOL.]]*[1]!Tabela2[[#This Row],[UNID.]]</f>
        <v>0</v>
      </c>
    </row>
    <row r="116" spans="1:7" x14ac:dyDescent="0.25">
      <c r="A116" s="8">
        <v>275</v>
      </c>
      <c r="B116" s="11" t="s">
        <v>504</v>
      </c>
      <c r="C116" s="15" t="s">
        <v>610</v>
      </c>
      <c r="D116" s="8" t="s">
        <v>598</v>
      </c>
      <c r="E116" s="12">
        <v>0</v>
      </c>
      <c r="F116" s="12">
        <v>30</v>
      </c>
      <c r="G116" s="18">
        <f>[1]!Tabela2[[#This Row],[VOL.]]*[1]!Tabela2[[#This Row],[UNID.]]</f>
        <v>0</v>
      </c>
    </row>
    <row r="117" spans="1:7" hidden="1" x14ac:dyDescent="0.25">
      <c r="A117" s="8">
        <v>276</v>
      </c>
      <c r="B117" s="11" t="s">
        <v>504</v>
      </c>
      <c r="C117" s="15" t="s">
        <v>611</v>
      </c>
      <c r="D117" s="8" t="s">
        <v>598</v>
      </c>
      <c r="E117" s="12">
        <v>0</v>
      </c>
      <c r="F117" s="12">
        <v>30</v>
      </c>
      <c r="G117" s="18">
        <f>[1]!Tabela2[[#This Row],[VOL.]]*[1]!Tabela2[[#This Row],[UNID.]]</f>
        <v>0</v>
      </c>
    </row>
    <row r="118" spans="1:7" hidden="1" x14ac:dyDescent="0.25">
      <c r="A118" s="8">
        <v>277</v>
      </c>
      <c r="B118" s="11" t="s">
        <v>505</v>
      </c>
      <c r="C118" s="15" t="s">
        <v>356</v>
      </c>
      <c r="D118" s="8" t="s">
        <v>598</v>
      </c>
      <c r="E118" s="12">
        <v>93</v>
      </c>
      <c r="F118" s="12">
        <v>30</v>
      </c>
      <c r="G118" s="18">
        <f>[1]!Tabela2[[#This Row],[VOL.]]*[1]!Tabela2[[#This Row],[UNID.]]</f>
        <v>60</v>
      </c>
    </row>
    <row r="119" spans="1:7" x14ac:dyDescent="0.25">
      <c r="A119" s="8">
        <v>278</v>
      </c>
      <c r="B119" s="11" t="s">
        <v>506</v>
      </c>
      <c r="C119" s="15" t="s">
        <v>612</v>
      </c>
      <c r="D119" s="8" t="s">
        <v>598</v>
      </c>
      <c r="E119" s="12">
        <v>0</v>
      </c>
      <c r="F119" s="12">
        <v>30</v>
      </c>
      <c r="G119" s="18">
        <f>[1]!Tabela2[[#This Row],[VOL.]]*[1]!Tabela2[[#This Row],[UNID.]]</f>
        <v>0</v>
      </c>
    </row>
    <row r="120" spans="1:7" hidden="1" x14ac:dyDescent="0.25">
      <c r="A120" s="8">
        <v>279</v>
      </c>
      <c r="B120" s="11" t="s">
        <v>507</v>
      </c>
      <c r="C120" s="15" t="s">
        <v>357</v>
      </c>
      <c r="D120" s="8" t="s">
        <v>598</v>
      </c>
      <c r="E120" s="12">
        <v>0</v>
      </c>
      <c r="F120" s="12">
        <v>30</v>
      </c>
      <c r="G120" s="18">
        <f>[1]!Tabela2[[#This Row],[VOL.]]*[1]!Tabela2[[#This Row],[UNID.]]</f>
        <v>0</v>
      </c>
    </row>
    <row r="121" spans="1:7" hidden="1" x14ac:dyDescent="0.25">
      <c r="A121" s="8">
        <v>280</v>
      </c>
      <c r="B121" s="11" t="s">
        <v>508</v>
      </c>
      <c r="C121" s="15" t="s">
        <v>613</v>
      </c>
      <c r="D121" s="8" t="s">
        <v>598</v>
      </c>
      <c r="E121" s="12">
        <v>0</v>
      </c>
      <c r="F121" s="12">
        <v>30</v>
      </c>
      <c r="G121" s="18">
        <f>[1]!Tabela2[[#This Row],[VOL.]]*[1]!Tabela2[[#This Row],[UNID.]]</f>
        <v>120</v>
      </c>
    </row>
    <row r="122" spans="1:7" x14ac:dyDescent="0.25">
      <c r="A122" s="8">
        <v>281</v>
      </c>
      <c r="B122" s="11" t="s">
        <v>509</v>
      </c>
      <c r="C122" s="15" t="s">
        <v>620</v>
      </c>
      <c r="D122" s="8" t="s">
        <v>598</v>
      </c>
      <c r="E122" s="12">
        <v>0</v>
      </c>
      <c r="F122" s="12">
        <v>25</v>
      </c>
      <c r="G122" s="18">
        <f>[1]!Tabela2[[#This Row],[VOL.]]*[1]!Tabela2[[#This Row],[UNID.]]</f>
        <v>0</v>
      </c>
    </row>
    <row r="123" spans="1:7" x14ac:dyDescent="0.25">
      <c r="A123" s="8">
        <v>282</v>
      </c>
      <c r="B123" s="11" t="s">
        <v>510</v>
      </c>
      <c r="C123" s="15" t="s">
        <v>358</v>
      </c>
      <c r="D123" s="8" t="s">
        <v>598</v>
      </c>
      <c r="E123" s="12">
        <v>0</v>
      </c>
      <c r="F123" s="12"/>
      <c r="G123" s="18">
        <f>[1]!Tabela2[[#This Row],[VOL.]]*[1]!Tabela2[[#This Row],[UNID.]]</f>
        <v>0</v>
      </c>
    </row>
    <row r="124" spans="1:7" x14ac:dyDescent="0.25">
      <c r="A124" s="8">
        <v>283</v>
      </c>
      <c r="B124" s="11" t="s">
        <v>511</v>
      </c>
      <c r="C124" s="15" t="s">
        <v>614</v>
      </c>
      <c r="D124" s="8" t="s">
        <v>598</v>
      </c>
      <c r="E124" s="12">
        <v>0</v>
      </c>
      <c r="F124" s="12"/>
      <c r="G124" s="18">
        <f>[1]!Tabela2[[#This Row],[VOL.]]*[1]!Tabela2[[#This Row],[UNID.]]</f>
        <v>25</v>
      </c>
    </row>
    <row r="125" spans="1:7" hidden="1" x14ac:dyDescent="0.25">
      <c r="A125" s="8">
        <v>284</v>
      </c>
      <c r="B125" s="11" t="s">
        <v>512</v>
      </c>
      <c r="C125" s="15" t="s">
        <v>359</v>
      </c>
      <c r="D125" s="8" t="s">
        <v>598</v>
      </c>
      <c r="E125" s="12">
        <v>0</v>
      </c>
      <c r="F125" s="12">
        <v>25</v>
      </c>
      <c r="G125" s="18">
        <f>[1]!Tabela2[[#This Row],[VOL.]]*[1]!Tabela2[[#This Row],[UNID.]]</f>
        <v>0</v>
      </c>
    </row>
    <row r="126" spans="1:7" x14ac:dyDescent="0.25">
      <c r="A126" s="8">
        <v>285</v>
      </c>
      <c r="B126" s="11" t="s">
        <v>513</v>
      </c>
      <c r="C126" s="15" t="s">
        <v>616</v>
      </c>
      <c r="D126" s="8" t="s">
        <v>598</v>
      </c>
      <c r="E126" s="12">
        <v>0</v>
      </c>
      <c r="F126" s="12"/>
      <c r="G126" s="18">
        <f>[1]!Tabela2[[#This Row],[VOL.]]*[1]!Tabela2[[#This Row],[UNID.]]</f>
        <v>0</v>
      </c>
    </row>
    <row r="127" spans="1:7" hidden="1" x14ac:dyDescent="0.25">
      <c r="A127" s="8">
        <v>286</v>
      </c>
      <c r="B127" s="11" t="s">
        <v>514</v>
      </c>
      <c r="C127" s="15" t="s">
        <v>360</v>
      </c>
      <c r="D127" s="8" t="s">
        <v>598</v>
      </c>
      <c r="E127" s="12">
        <v>0</v>
      </c>
      <c r="F127" s="12">
        <v>20</v>
      </c>
      <c r="G127" s="18">
        <f>[1]!Tabela2[[#This Row],[VOL.]]*[1]!Tabela2[[#This Row],[UNID.]]</f>
        <v>0</v>
      </c>
    </row>
    <row r="128" spans="1:7" x14ac:dyDescent="0.25">
      <c r="A128" s="8">
        <v>287</v>
      </c>
      <c r="B128" s="11" t="s">
        <v>515</v>
      </c>
      <c r="C128" s="15" t="s">
        <v>622</v>
      </c>
      <c r="D128" s="8" t="s">
        <v>598</v>
      </c>
      <c r="E128" s="12">
        <v>0</v>
      </c>
      <c r="F128" s="12"/>
      <c r="G128" s="18">
        <f>[1]!Tabela2[[#This Row],[VOL.]]*[1]!Tabela2[[#This Row],[UNID.]]</f>
        <v>20</v>
      </c>
    </row>
    <row r="129" spans="1:7" x14ac:dyDescent="0.25">
      <c r="A129" s="8">
        <v>288</v>
      </c>
      <c r="B129" s="11" t="s">
        <v>516</v>
      </c>
      <c r="C129" s="15" t="s">
        <v>623</v>
      </c>
      <c r="D129" s="8" t="s">
        <v>598</v>
      </c>
      <c r="E129" s="12">
        <v>0</v>
      </c>
      <c r="F129" s="12"/>
      <c r="G129" s="18">
        <f>[1]!Tabela2[[#This Row],[VOL.]]*[1]!Tabela2[[#This Row],[UNID.]]</f>
        <v>0</v>
      </c>
    </row>
    <row r="130" spans="1:7" x14ac:dyDescent="0.25">
      <c r="A130" s="8">
        <v>289</v>
      </c>
      <c r="B130" s="11" t="s">
        <v>517</v>
      </c>
      <c r="C130" s="15" t="s">
        <v>404</v>
      </c>
      <c r="D130" s="8" t="s">
        <v>598</v>
      </c>
      <c r="E130" s="12">
        <v>0</v>
      </c>
      <c r="F130" s="12"/>
      <c r="G130" s="18">
        <f>[1]!Tabela2[[#This Row],[VOL.]]*[1]!Tabela2[[#This Row],[UNID.]]</f>
        <v>0</v>
      </c>
    </row>
    <row r="131" spans="1:7" hidden="1" x14ac:dyDescent="0.25">
      <c r="A131" s="8">
        <v>129</v>
      </c>
      <c r="B131" s="11" t="s">
        <v>518</v>
      </c>
      <c r="C131" s="15" t="s">
        <v>360</v>
      </c>
      <c r="D131" s="8" t="s">
        <v>624</v>
      </c>
      <c r="E131" s="12">
        <v>0</v>
      </c>
      <c r="F131" s="12">
        <v>20</v>
      </c>
      <c r="G131" s="18">
        <f>[1]!Tabela2[[#This Row],[VOL.]]*[1]!Tabela2[[#This Row],[UNID.]]</f>
        <v>0</v>
      </c>
    </row>
    <row r="132" spans="1:7" x14ac:dyDescent="0.25">
      <c r="A132" s="8">
        <v>130</v>
      </c>
      <c r="B132" s="11" t="s">
        <v>518</v>
      </c>
      <c r="C132" s="15" t="s">
        <v>622</v>
      </c>
      <c r="D132" s="8" t="s">
        <v>624</v>
      </c>
      <c r="E132" s="12">
        <v>0</v>
      </c>
      <c r="F132" s="12"/>
      <c r="G132" s="18">
        <f>[1]!Tabela2[[#This Row],[VOL.]]*[1]!Tabela2[[#This Row],[UNID.]]</f>
        <v>0</v>
      </c>
    </row>
    <row r="133" spans="1:7" x14ac:dyDescent="0.25">
      <c r="A133" s="8">
        <v>131</v>
      </c>
      <c r="B133" s="11" t="s">
        <v>518</v>
      </c>
      <c r="C133" s="15" t="s">
        <v>623</v>
      </c>
      <c r="D133" s="8" t="s">
        <v>624</v>
      </c>
      <c r="E133" s="12">
        <v>0</v>
      </c>
      <c r="F133" s="12"/>
      <c r="G133" s="18">
        <f>[1]!Tabela2[[#This Row],[VOL.]]*[1]!Tabela2[[#This Row],[UNID.]]</f>
        <v>0</v>
      </c>
    </row>
    <row r="134" spans="1:7" hidden="1" x14ac:dyDescent="0.25">
      <c r="A134" s="8">
        <v>132</v>
      </c>
      <c r="B134" s="11" t="s">
        <v>518</v>
      </c>
      <c r="C134" s="15" t="s">
        <v>404</v>
      </c>
      <c r="D134" s="8" t="s">
        <v>624</v>
      </c>
      <c r="E134" s="12">
        <v>13</v>
      </c>
      <c r="F134" s="12">
        <v>20</v>
      </c>
      <c r="G134" s="18">
        <f>[1]!Tabela2[[#This Row],[VOL.]]*[1]!Tabela2[[#This Row],[UNID.]]</f>
        <v>0</v>
      </c>
    </row>
    <row r="135" spans="1:7" x14ac:dyDescent="0.25">
      <c r="A135" s="8">
        <v>133</v>
      </c>
      <c r="B135" s="11" t="s">
        <v>518</v>
      </c>
      <c r="C135" s="15" t="s">
        <v>405</v>
      </c>
      <c r="D135" s="8" t="s">
        <v>624</v>
      </c>
      <c r="E135" s="12">
        <v>0</v>
      </c>
      <c r="F135" s="12">
        <v>20</v>
      </c>
      <c r="G135" s="18">
        <f>[1]!Tabela2[[#This Row],[VOL.]]*[1]!Tabela2[[#This Row],[UNID.]]</f>
        <v>140</v>
      </c>
    </row>
    <row r="136" spans="1:7" x14ac:dyDescent="0.25">
      <c r="A136" s="8">
        <v>134</v>
      </c>
      <c r="B136" s="11" t="s">
        <v>518</v>
      </c>
      <c r="C136" s="15" t="s">
        <v>625</v>
      </c>
      <c r="D136" s="8" t="s">
        <v>624</v>
      </c>
      <c r="E136" s="12">
        <v>0</v>
      </c>
      <c r="F136" s="12">
        <v>20</v>
      </c>
      <c r="G136" s="18">
        <f>[1]!Tabela2[[#This Row],[VOL.]]*[1]!Tabela2[[#This Row],[UNID.]]</f>
        <v>0</v>
      </c>
    </row>
    <row r="137" spans="1:7" x14ac:dyDescent="0.25">
      <c r="A137" s="8">
        <v>135</v>
      </c>
      <c r="B137" s="11" t="s">
        <v>518</v>
      </c>
      <c r="C137" s="15" t="s">
        <v>626</v>
      </c>
      <c r="D137" s="8" t="s">
        <v>624</v>
      </c>
      <c r="E137" s="12">
        <v>0</v>
      </c>
      <c r="F137" s="12">
        <v>20</v>
      </c>
      <c r="G137" s="18">
        <f>[1]!Tabela2[[#This Row],[VOL.]]*[1]!Tabela2[[#This Row],[UNID.]]</f>
        <v>0</v>
      </c>
    </row>
    <row r="138" spans="1:7" x14ac:dyDescent="0.25">
      <c r="A138" s="8">
        <v>136</v>
      </c>
      <c r="B138" s="11" t="s">
        <v>518</v>
      </c>
      <c r="C138" s="15" t="s">
        <v>406</v>
      </c>
      <c r="D138" s="8" t="s">
        <v>624</v>
      </c>
      <c r="E138" s="12">
        <v>0</v>
      </c>
      <c r="F138" s="12"/>
      <c r="G138" s="18">
        <f>[1]!Tabela2[[#This Row],[VOL.]]*[1]!Tabela2[[#This Row],[UNID.]]</f>
        <v>0</v>
      </c>
    </row>
    <row r="139" spans="1:7" x14ac:dyDescent="0.25">
      <c r="A139" s="8">
        <v>1775</v>
      </c>
      <c r="B139" s="11" t="s">
        <v>518</v>
      </c>
      <c r="C139" s="15" t="s">
        <v>626</v>
      </c>
      <c r="D139" s="8" t="s">
        <v>615</v>
      </c>
      <c r="E139" s="12"/>
      <c r="F139" s="12">
        <v>20</v>
      </c>
      <c r="G139" s="18">
        <f>[1]!Tabela2[[#This Row],[VOL.]]*[1]!Tabela2[[#This Row],[UNID.]]</f>
        <v>0</v>
      </c>
    </row>
    <row r="140" spans="1:7" x14ac:dyDescent="0.25">
      <c r="A140" s="8">
        <v>1776</v>
      </c>
      <c r="B140" s="11" t="s">
        <v>518</v>
      </c>
      <c r="C140" s="15" t="s">
        <v>406</v>
      </c>
      <c r="D140" s="8" t="s">
        <v>615</v>
      </c>
      <c r="E140" s="12"/>
      <c r="F140" s="12"/>
      <c r="G140" s="18">
        <f>[1]!Tabela2[[#This Row],[VOL.]]*[1]!Tabela2[[#This Row],[UNID.]]</f>
        <v>0</v>
      </c>
    </row>
    <row r="141" spans="1:7" x14ac:dyDescent="0.25">
      <c r="A141" s="8">
        <v>1777</v>
      </c>
      <c r="B141" s="11" t="s">
        <v>518</v>
      </c>
      <c r="C141" s="15" t="s">
        <v>627</v>
      </c>
      <c r="D141" s="8" t="s">
        <v>615</v>
      </c>
      <c r="E141" s="12"/>
      <c r="F141" s="12"/>
      <c r="G141" s="18">
        <f>[1]!Tabela2[[#This Row],[VOL.]]*[1]!Tabela2[[#This Row],[UNID.]]</f>
        <v>0</v>
      </c>
    </row>
    <row r="142" spans="1:7" x14ac:dyDescent="0.25">
      <c r="A142" s="8">
        <v>1822</v>
      </c>
      <c r="B142" s="11" t="s">
        <v>519</v>
      </c>
      <c r="C142" s="15" t="s">
        <v>405</v>
      </c>
      <c r="D142" s="8" t="s">
        <v>615</v>
      </c>
      <c r="E142" s="12">
        <v>1</v>
      </c>
      <c r="F142" s="12">
        <v>20</v>
      </c>
      <c r="G142" s="18">
        <f>[1]!Tabela2[[#This Row],[VOL.]]*[1]!Tabela2[[#This Row],[UNID.]]</f>
        <v>0</v>
      </c>
    </row>
    <row r="143" spans="1:7" x14ac:dyDescent="0.25">
      <c r="A143" s="8">
        <v>1778</v>
      </c>
      <c r="B143" s="11" t="s">
        <v>519</v>
      </c>
      <c r="C143" s="15" t="s">
        <v>626</v>
      </c>
      <c r="D143" s="8" t="s">
        <v>615</v>
      </c>
      <c r="E143" s="12">
        <v>0</v>
      </c>
      <c r="F143" s="12">
        <v>20</v>
      </c>
      <c r="G143" s="18">
        <f>[1]!Tabela2[[#This Row],[VOL.]]*[1]!Tabela2[[#This Row],[UNID.]]</f>
        <v>20</v>
      </c>
    </row>
    <row r="144" spans="1:7" hidden="1" x14ac:dyDescent="0.25">
      <c r="A144" s="8">
        <v>1779</v>
      </c>
      <c r="B144" s="11" t="s">
        <v>519</v>
      </c>
      <c r="C144" s="15" t="s">
        <v>406</v>
      </c>
      <c r="D144" s="8" t="s">
        <v>615</v>
      </c>
      <c r="E144" s="12"/>
      <c r="F144" s="12">
        <v>20</v>
      </c>
      <c r="G144" s="18">
        <f>[1]!Tabela2[[#This Row],[VOL.]]*[1]!Tabela2[[#This Row],[UNID.]]</f>
        <v>0</v>
      </c>
    </row>
    <row r="145" spans="1:7" x14ac:dyDescent="0.25">
      <c r="A145" s="8">
        <v>1780</v>
      </c>
      <c r="B145" s="11" t="s">
        <v>519</v>
      </c>
      <c r="C145" s="15" t="s">
        <v>627</v>
      </c>
      <c r="D145" s="8" t="s">
        <v>615</v>
      </c>
      <c r="E145" s="12"/>
      <c r="F145" s="12"/>
      <c r="G145" s="18">
        <f>[1]!Tabela2[[#This Row],[VOL.]]*[1]!Tabela2[[#This Row],[UNID.]]</f>
        <v>0</v>
      </c>
    </row>
    <row r="146" spans="1:7" hidden="1" x14ac:dyDescent="0.25">
      <c r="A146" s="9">
        <v>152</v>
      </c>
      <c r="B146" s="11" t="s">
        <v>520</v>
      </c>
      <c r="C146" s="15"/>
      <c r="D146" s="8" t="s">
        <v>608</v>
      </c>
      <c r="E146" s="12">
        <v>0</v>
      </c>
      <c r="F146" s="12">
        <v>1000</v>
      </c>
      <c r="G146" s="18">
        <f>[1]!Tabela2[[#This Row],[VOL.]]*[1]!Tabela2[[#This Row],[UNID.]]</f>
        <v>0</v>
      </c>
    </row>
    <row r="147" spans="1:7" hidden="1" x14ac:dyDescent="0.25">
      <c r="A147" s="8">
        <v>153</v>
      </c>
      <c r="B147" s="12" t="s">
        <v>521</v>
      </c>
      <c r="C147" s="15"/>
      <c r="D147" s="8" t="s">
        <v>608</v>
      </c>
      <c r="E147" s="12">
        <v>5</v>
      </c>
      <c r="F147" s="12">
        <v>1000</v>
      </c>
      <c r="G147" s="18">
        <f>[1]!Tabela2[[#This Row],[VOL.]]*[1]!Tabela2[[#This Row],[UNID.]]</f>
        <v>0</v>
      </c>
    </row>
    <row r="148" spans="1:7" hidden="1" x14ac:dyDescent="0.25">
      <c r="A148" s="8">
        <v>154</v>
      </c>
      <c r="B148" s="11" t="s">
        <v>522</v>
      </c>
      <c r="C148" s="15"/>
      <c r="D148" s="8" t="s">
        <v>608</v>
      </c>
      <c r="E148" s="12">
        <v>10</v>
      </c>
      <c r="F148" s="12">
        <v>1000</v>
      </c>
      <c r="G148" s="18">
        <f>[1]!Tabela2[[#This Row],[VOL.]]*[1]!Tabela2[[#This Row],[UNID.]]</f>
        <v>0</v>
      </c>
    </row>
    <row r="149" spans="1:7" hidden="1" x14ac:dyDescent="0.25">
      <c r="A149" s="8">
        <v>155</v>
      </c>
      <c r="B149" s="12" t="s">
        <v>523</v>
      </c>
      <c r="C149" s="15"/>
      <c r="D149" s="8" t="s">
        <v>608</v>
      </c>
      <c r="E149" s="12">
        <v>0</v>
      </c>
      <c r="F149" s="12">
        <v>12</v>
      </c>
      <c r="G149" s="18">
        <f>[1]!Tabela2[[#This Row],[VOL.]]*[1]!Tabela2[[#This Row],[UNID.]]</f>
        <v>0</v>
      </c>
    </row>
    <row r="150" spans="1:7" hidden="1" x14ac:dyDescent="0.25">
      <c r="A150" s="8">
        <v>1586</v>
      </c>
      <c r="B150" s="12" t="s">
        <v>524</v>
      </c>
      <c r="C150" s="15"/>
      <c r="D150" s="8" t="s">
        <v>628</v>
      </c>
      <c r="E150" s="12">
        <v>1</v>
      </c>
      <c r="F150" s="12">
        <v>12</v>
      </c>
      <c r="G150" s="18">
        <f>[1]!Tabela2[[#This Row],[VOL.]]*[1]!Tabela2[[#This Row],[UNID.]]</f>
        <v>0</v>
      </c>
    </row>
    <row r="151" spans="1:7" hidden="1" x14ac:dyDescent="0.25">
      <c r="A151" s="8">
        <v>1587</v>
      </c>
      <c r="B151" s="12" t="s">
        <v>525</v>
      </c>
      <c r="C151" s="15"/>
      <c r="D151" s="8" t="s">
        <v>628</v>
      </c>
      <c r="E151" s="12">
        <v>0</v>
      </c>
      <c r="F151" s="12">
        <v>300</v>
      </c>
      <c r="G151" s="18">
        <f>[1]!Tabela2[[#This Row],[VOL.]]*[1]!Tabela2[[#This Row],[UNID.]]</f>
        <v>72</v>
      </c>
    </row>
    <row r="152" spans="1:7" hidden="1" x14ac:dyDescent="0.25">
      <c r="A152" s="8">
        <v>1797</v>
      </c>
      <c r="B152" s="12" t="s">
        <v>526</v>
      </c>
      <c r="C152" s="15"/>
      <c r="D152" s="8" t="s">
        <v>628</v>
      </c>
      <c r="E152" s="12">
        <v>0</v>
      </c>
      <c r="F152" s="12">
        <v>12</v>
      </c>
      <c r="G152" s="18">
        <f>[1]!Tabela2[[#This Row],[VOL.]]*[1]!Tabela2[[#This Row],[UNID.]]</f>
        <v>0</v>
      </c>
    </row>
    <row r="153" spans="1:7" hidden="1" x14ac:dyDescent="0.25">
      <c r="A153" s="8">
        <v>157</v>
      </c>
      <c r="B153" s="12" t="s">
        <v>527</v>
      </c>
      <c r="C153" s="15"/>
      <c r="D153" s="8" t="s">
        <v>608</v>
      </c>
      <c r="E153" s="12">
        <v>0</v>
      </c>
      <c r="F153" s="12">
        <v>300</v>
      </c>
      <c r="G153" s="18">
        <f>[1]!Tabela2[[#This Row],[VOL.]]*[1]!Tabela2[[#This Row],[UNID.]]</f>
        <v>0</v>
      </c>
    </row>
    <row r="154" spans="1:7" hidden="1" x14ac:dyDescent="0.25">
      <c r="A154" s="8">
        <v>158</v>
      </c>
      <c r="B154" s="12" t="s">
        <v>528</v>
      </c>
      <c r="C154" s="15"/>
      <c r="D154" s="8" t="s">
        <v>608</v>
      </c>
      <c r="E154" s="12">
        <v>0</v>
      </c>
      <c r="F154" s="12">
        <v>150</v>
      </c>
      <c r="G154" s="18">
        <f>[1]!Tabela2[[#This Row],[VOL.]]*[1]!Tabela2[[#This Row],[UNID.]]</f>
        <v>300</v>
      </c>
    </row>
    <row r="155" spans="1:7" hidden="1" x14ac:dyDescent="0.25">
      <c r="A155" s="8">
        <v>1656</v>
      </c>
      <c r="B155" s="11" t="s">
        <v>529</v>
      </c>
      <c r="C155" s="15"/>
      <c r="D155" s="8" t="s">
        <v>615</v>
      </c>
      <c r="E155" s="12">
        <v>2</v>
      </c>
      <c r="F155" s="12">
        <v>110</v>
      </c>
      <c r="G155" s="18">
        <f>[1]!Tabela2[[#This Row],[VOL.]]*[1]!Tabela2[[#This Row],[UNID.]]</f>
        <v>0</v>
      </c>
    </row>
    <row r="156" spans="1:7" hidden="1" x14ac:dyDescent="0.25">
      <c r="A156" s="8">
        <v>159</v>
      </c>
      <c r="B156" s="11" t="s">
        <v>530</v>
      </c>
      <c r="C156" s="15"/>
      <c r="D156" s="8"/>
      <c r="E156" s="12">
        <v>0</v>
      </c>
      <c r="F156" s="12">
        <v>110</v>
      </c>
      <c r="G156" s="18">
        <f>[1]!Tabela2[[#This Row],[VOL.]]*[1]!Tabela2[[#This Row],[UNID.]]</f>
        <v>0</v>
      </c>
    </row>
    <row r="157" spans="1:7" hidden="1" x14ac:dyDescent="0.25">
      <c r="A157" s="8">
        <v>160</v>
      </c>
      <c r="B157" s="11" t="s">
        <v>531</v>
      </c>
      <c r="C157" s="15"/>
      <c r="D157" s="8"/>
      <c r="E157" s="12">
        <v>0</v>
      </c>
      <c r="F157" s="12">
        <v>80</v>
      </c>
      <c r="G157" s="18">
        <f>[1]!Tabela2[[#This Row],[VOL.]]*[1]!Tabela2[[#This Row],[UNID.]]</f>
        <v>0</v>
      </c>
    </row>
    <row r="158" spans="1:7" hidden="1" x14ac:dyDescent="0.25">
      <c r="A158" s="8">
        <v>161</v>
      </c>
      <c r="B158" s="11" t="s">
        <v>532</v>
      </c>
      <c r="C158" s="15"/>
      <c r="D158" s="8"/>
      <c r="E158" s="12">
        <v>2</v>
      </c>
      <c r="F158" s="12">
        <v>70</v>
      </c>
      <c r="G158" s="18">
        <f>[1]!Tabela2[[#This Row],[VOL.]]*[1]!Tabela2[[#This Row],[UNID.]]</f>
        <v>0</v>
      </c>
    </row>
    <row r="159" spans="1:7" hidden="1" x14ac:dyDescent="0.25">
      <c r="A159" s="8">
        <v>162</v>
      </c>
      <c r="B159" s="11" t="s">
        <v>533</v>
      </c>
      <c r="C159" s="15"/>
      <c r="D159" s="8"/>
      <c r="E159" s="12">
        <v>0</v>
      </c>
      <c r="F159" s="12">
        <v>45</v>
      </c>
      <c r="G159" s="18">
        <f>[1]!Tabela2[[#This Row],[VOL.]]*[1]!Tabela2[[#This Row],[UNID.]]</f>
        <v>0</v>
      </c>
    </row>
    <row r="160" spans="1:7" hidden="1" x14ac:dyDescent="0.25">
      <c r="A160" s="8">
        <v>163</v>
      </c>
      <c r="B160" s="11" t="s">
        <v>534</v>
      </c>
      <c r="C160" s="15"/>
      <c r="D160" s="8"/>
      <c r="E160" s="12">
        <v>0</v>
      </c>
      <c r="F160" s="12">
        <v>110</v>
      </c>
      <c r="G160" s="18">
        <f>[1]!Tabela2[[#This Row],[VOL.]]*[1]!Tabela2[[#This Row],[UNID.]]</f>
        <v>0</v>
      </c>
    </row>
    <row r="161" spans="1:7" hidden="1" x14ac:dyDescent="0.25">
      <c r="A161" s="8">
        <v>164</v>
      </c>
      <c r="B161" s="11" t="s">
        <v>535</v>
      </c>
      <c r="C161" s="15"/>
      <c r="D161" s="8"/>
      <c r="E161" s="12">
        <v>0</v>
      </c>
      <c r="F161" s="12">
        <v>90</v>
      </c>
      <c r="G161" s="18">
        <f>[1]!Tabela2[[#This Row],[VOL.]]*[1]!Tabela2[[#This Row],[UNID.]]</f>
        <v>90</v>
      </c>
    </row>
    <row r="162" spans="1:7" hidden="1" x14ac:dyDescent="0.25">
      <c r="A162" s="8">
        <v>165</v>
      </c>
      <c r="B162" s="11" t="s">
        <v>536</v>
      </c>
      <c r="C162" s="15"/>
      <c r="D162" s="8"/>
      <c r="E162" s="12">
        <v>0</v>
      </c>
      <c r="F162" s="12">
        <v>70</v>
      </c>
      <c r="G162" s="18">
        <f>[1]!Tabela2[[#This Row],[VOL.]]*[1]!Tabela2[[#This Row],[UNID.]]</f>
        <v>0</v>
      </c>
    </row>
    <row r="163" spans="1:7" hidden="1" x14ac:dyDescent="0.25">
      <c r="A163" s="8">
        <v>166</v>
      </c>
      <c r="B163" s="11" t="s">
        <v>537</v>
      </c>
      <c r="C163" s="15"/>
      <c r="D163" s="8"/>
      <c r="E163" s="12">
        <v>0</v>
      </c>
      <c r="F163" s="12">
        <v>50</v>
      </c>
      <c r="G163" s="18">
        <f>[1]!Tabela2[[#This Row],[VOL.]]*[1]!Tabela2[[#This Row],[UNID.]]</f>
        <v>0</v>
      </c>
    </row>
    <row r="164" spans="1:7" hidden="1" x14ac:dyDescent="0.25">
      <c r="A164" s="8">
        <v>167</v>
      </c>
      <c r="B164" s="11" t="s">
        <v>538</v>
      </c>
      <c r="C164" s="15"/>
      <c r="D164" s="8"/>
      <c r="E164" s="12">
        <v>0</v>
      </c>
      <c r="F164" s="12">
        <v>90</v>
      </c>
      <c r="G164" s="18">
        <f>[1]!Tabela2[[#This Row],[VOL.]]*[1]!Tabela2[[#This Row],[UNID.]]</f>
        <v>0</v>
      </c>
    </row>
    <row r="165" spans="1:7" hidden="1" x14ac:dyDescent="0.25">
      <c r="A165" s="8">
        <v>168</v>
      </c>
      <c r="B165" s="11" t="s">
        <v>539</v>
      </c>
      <c r="C165" s="15"/>
      <c r="D165" s="8"/>
      <c r="E165" s="12">
        <v>0</v>
      </c>
      <c r="F165" s="12">
        <v>70</v>
      </c>
      <c r="G165" s="18">
        <f>[1]!Tabela2[[#This Row],[VOL.]]*[1]!Tabela2[[#This Row],[UNID.]]</f>
        <v>0</v>
      </c>
    </row>
    <row r="166" spans="1:7" hidden="1" x14ac:dyDescent="0.25">
      <c r="A166" s="8">
        <v>169</v>
      </c>
      <c r="B166" s="11" t="s">
        <v>540</v>
      </c>
      <c r="C166" s="15"/>
      <c r="D166" s="17" t="s">
        <v>322</v>
      </c>
      <c r="E166" s="12">
        <v>0</v>
      </c>
      <c r="F166" s="12">
        <v>60</v>
      </c>
      <c r="G166" s="18">
        <f>[1]!Tabela2[[#This Row],[VOL.]]*[1]!Tabela2[[#This Row],[UNID.]]</f>
        <v>0</v>
      </c>
    </row>
    <row r="167" spans="1:7" hidden="1" x14ac:dyDescent="0.25">
      <c r="A167" s="8">
        <v>170</v>
      </c>
      <c r="B167" s="11" t="s">
        <v>541</v>
      </c>
      <c r="C167" s="15"/>
      <c r="D167" s="8"/>
      <c r="E167" s="12">
        <v>1</v>
      </c>
      <c r="F167" s="12">
        <v>35</v>
      </c>
      <c r="G167" s="18">
        <f>[1]!Tabela2[[#This Row],[VOL.]]*[1]!Tabela2[[#This Row],[UNID.]]</f>
        <v>0</v>
      </c>
    </row>
    <row r="168" spans="1:7" hidden="1" x14ac:dyDescent="0.25">
      <c r="A168" s="8">
        <v>171</v>
      </c>
      <c r="B168" s="11" t="s">
        <v>542</v>
      </c>
      <c r="C168" s="15"/>
      <c r="D168" s="8"/>
      <c r="E168" s="12">
        <v>0</v>
      </c>
      <c r="F168" s="12">
        <v>100</v>
      </c>
      <c r="G168" s="18">
        <f>[1]!Tabela2[[#This Row],[VOL.]]*[1]!Tabela2[[#This Row],[UNID.]]</f>
        <v>0</v>
      </c>
    </row>
    <row r="169" spans="1:7" hidden="1" x14ac:dyDescent="0.25">
      <c r="A169" s="8">
        <v>172</v>
      </c>
      <c r="B169" s="11" t="s">
        <v>543</v>
      </c>
      <c r="C169" s="15"/>
      <c r="D169" s="8"/>
      <c r="E169" s="12">
        <v>0</v>
      </c>
      <c r="F169" s="12">
        <v>75</v>
      </c>
      <c r="G169" s="18">
        <f>[1]!Tabela2[[#This Row],[VOL.]]*[1]!Tabela2[[#This Row],[UNID.]]</f>
        <v>75</v>
      </c>
    </row>
    <row r="170" spans="1:7" hidden="1" x14ac:dyDescent="0.25">
      <c r="A170" s="8">
        <v>173</v>
      </c>
      <c r="B170" s="11" t="s">
        <v>544</v>
      </c>
      <c r="C170" s="15"/>
      <c r="D170" s="8"/>
      <c r="E170" s="12">
        <v>1</v>
      </c>
      <c r="F170" s="12">
        <v>60</v>
      </c>
      <c r="G170" s="18">
        <f>[1]!Tabela2[[#This Row],[VOL.]]*[1]!Tabela2[[#This Row],[UNID.]]</f>
        <v>0</v>
      </c>
    </row>
    <row r="171" spans="1:7" hidden="1" x14ac:dyDescent="0.25">
      <c r="A171" s="8">
        <v>174</v>
      </c>
      <c r="B171" s="11" t="s">
        <v>545</v>
      </c>
      <c r="C171" s="15"/>
      <c r="D171" s="8" t="s">
        <v>644</v>
      </c>
      <c r="E171" s="12">
        <v>1</v>
      </c>
      <c r="F171" s="12">
        <v>40</v>
      </c>
      <c r="G171" s="18">
        <f>[1]!Tabela2[[#This Row],[VOL.]]*[1]!Tabela2[[#This Row],[UNID.]]</f>
        <v>40</v>
      </c>
    </row>
    <row r="172" spans="1:7" hidden="1" x14ac:dyDescent="0.25">
      <c r="A172" s="8">
        <v>359</v>
      </c>
      <c r="B172" s="11" t="s">
        <v>504</v>
      </c>
      <c r="C172" s="15" t="s">
        <v>607</v>
      </c>
      <c r="D172" s="8" t="s">
        <v>598</v>
      </c>
      <c r="E172" s="12">
        <v>0</v>
      </c>
      <c r="F172" s="12">
        <v>36</v>
      </c>
      <c r="G172" s="18">
        <f>[1]!Tabela2[[#This Row],[VOL.]]*[1]!Tabela2[[#This Row],[UNID.]]</f>
        <v>0</v>
      </c>
    </row>
    <row r="173" spans="1:7" x14ac:dyDescent="0.25">
      <c r="A173" s="8">
        <v>1687</v>
      </c>
      <c r="B173" s="11" t="s">
        <v>493</v>
      </c>
      <c r="C173" s="15" t="s">
        <v>611</v>
      </c>
      <c r="D173" s="8" t="s">
        <v>608</v>
      </c>
      <c r="E173" s="12">
        <v>0</v>
      </c>
      <c r="F173" s="12">
        <v>30</v>
      </c>
      <c r="G173" s="18">
        <f>[1]!Tabela2[[#This Row],[VOL.]]*[1]!Tabela2[[#This Row],[UNID.]]</f>
        <v>0</v>
      </c>
    </row>
    <row r="174" spans="1:7" x14ac:dyDescent="0.25">
      <c r="A174" s="8">
        <v>1924</v>
      </c>
      <c r="B174" s="11" t="s">
        <v>497</v>
      </c>
      <c r="C174" s="15" t="s">
        <v>357</v>
      </c>
      <c r="D174" s="8" t="s">
        <v>608</v>
      </c>
      <c r="E174" s="12">
        <v>0</v>
      </c>
      <c r="F174" s="12">
        <v>30</v>
      </c>
      <c r="G174" s="18">
        <f>[1]!Tabela2[[#This Row],[VOL.]]*[1]!Tabela2[[#This Row],[UNID.]]</f>
        <v>0</v>
      </c>
    </row>
    <row r="175" spans="1:7" hidden="1" x14ac:dyDescent="0.25">
      <c r="A175" s="8">
        <v>1819</v>
      </c>
      <c r="B175" s="11" t="s">
        <v>504</v>
      </c>
      <c r="C175" s="15" t="s">
        <v>355</v>
      </c>
      <c r="D175" s="8" t="s">
        <v>608</v>
      </c>
      <c r="E175" s="12">
        <v>0</v>
      </c>
      <c r="F175" s="12">
        <v>36</v>
      </c>
      <c r="G175" s="18">
        <f>[1]!Tabela2[[#This Row],[VOL.]]*[1]!Tabela2[[#This Row],[UNID.]]</f>
        <v>0</v>
      </c>
    </row>
    <row r="176" spans="1:7" x14ac:dyDescent="0.25">
      <c r="A176" s="8">
        <v>1636</v>
      </c>
      <c r="B176" s="11" t="s">
        <v>504</v>
      </c>
      <c r="C176" s="15" t="s">
        <v>607</v>
      </c>
      <c r="D176" s="8" t="s">
        <v>608</v>
      </c>
      <c r="E176" s="12">
        <v>0</v>
      </c>
      <c r="F176" s="12">
        <v>36</v>
      </c>
      <c r="G176" s="18">
        <f>[1]!Tabela2[[#This Row],[VOL.]]*[1]!Tabela2[[#This Row],[UNID.]]</f>
        <v>0</v>
      </c>
    </row>
    <row r="177" spans="1:7" x14ac:dyDescent="0.25">
      <c r="A177" s="8">
        <v>1781</v>
      </c>
      <c r="B177" s="11" t="s">
        <v>504</v>
      </c>
      <c r="C177" s="15" t="s">
        <v>626</v>
      </c>
      <c r="D177" s="8" t="s">
        <v>615</v>
      </c>
      <c r="E177" s="12">
        <v>0</v>
      </c>
      <c r="F177" s="12">
        <v>20</v>
      </c>
      <c r="G177" s="18">
        <f>[1]!Tabela2[[#This Row],[VOL.]]*[1]!Tabela2[[#This Row],[UNID.]]</f>
        <v>0</v>
      </c>
    </row>
    <row r="178" spans="1:7" x14ac:dyDescent="0.25">
      <c r="A178" s="8">
        <v>1782</v>
      </c>
      <c r="B178" s="11" t="s">
        <v>504</v>
      </c>
      <c r="C178" s="15" t="s">
        <v>406</v>
      </c>
      <c r="D178" s="8" t="s">
        <v>615</v>
      </c>
      <c r="E178" s="12">
        <v>0</v>
      </c>
      <c r="F178" s="12"/>
      <c r="G178" s="18">
        <f>[1]!Tabela2[[#This Row],[VOL.]]*[1]!Tabela2[[#This Row],[UNID.]]</f>
        <v>0</v>
      </c>
    </row>
    <row r="179" spans="1:7" x14ac:dyDescent="0.25">
      <c r="A179" s="8">
        <v>290</v>
      </c>
      <c r="B179" s="11" t="s">
        <v>519</v>
      </c>
      <c r="C179" s="15" t="s">
        <v>360</v>
      </c>
      <c r="D179" s="8" t="s">
        <v>608</v>
      </c>
      <c r="E179" s="12">
        <v>0</v>
      </c>
      <c r="F179" s="12"/>
      <c r="G179" s="18">
        <f>[1]!Tabela2[[#This Row],[VOL.]]*[1]!Tabela2[[#This Row],[UNID.]]</f>
        <v>0</v>
      </c>
    </row>
    <row r="180" spans="1:7" x14ac:dyDescent="0.25">
      <c r="A180" s="8">
        <v>291</v>
      </c>
      <c r="B180" s="11" t="s">
        <v>519</v>
      </c>
      <c r="C180" s="15" t="s">
        <v>622</v>
      </c>
      <c r="D180" s="8" t="s">
        <v>608</v>
      </c>
      <c r="E180" s="12">
        <v>0</v>
      </c>
      <c r="F180" s="12"/>
      <c r="G180" s="18">
        <f>[1]!Tabela2[[#This Row],[VOL.]]*[1]!Tabela2[[#This Row],[UNID.]]</f>
        <v>0</v>
      </c>
    </row>
    <row r="181" spans="1:7" x14ac:dyDescent="0.25">
      <c r="A181" s="8">
        <v>292</v>
      </c>
      <c r="B181" s="11" t="s">
        <v>519</v>
      </c>
      <c r="C181" s="15" t="s">
        <v>623</v>
      </c>
      <c r="D181" s="8" t="s">
        <v>608</v>
      </c>
      <c r="E181" s="12">
        <v>0</v>
      </c>
      <c r="F181" s="12"/>
      <c r="G181" s="18">
        <f>[1]!Tabela2[[#This Row],[VOL.]]*[1]!Tabela2[[#This Row],[UNID.]]</f>
        <v>0</v>
      </c>
    </row>
    <row r="182" spans="1:7" x14ac:dyDescent="0.25">
      <c r="A182" s="8">
        <v>293</v>
      </c>
      <c r="B182" s="11" t="s">
        <v>519</v>
      </c>
      <c r="C182" s="15" t="s">
        <v>404</v>
      </c>
      <c r="D182" s="8" t="s">
        <v>608</v>
      </c>
      <c r="E182" s="12">
        <v>0</v>
      </c>
      <c r="F182" s="12"/>
      <c r="G182" s="18">
        <f>[1]!Tabela2[[#This Row],[VOL.]]*[1]!Tabela2[[#This Row],[UNID.]]</f>
        <v>0</v>
      </c>
    </row>
    <row r="183" spans="1:7" x14ac:dyDescent="0.25">
      <c r="A183" s="8">
        <v>294</v>
      </c>
      <c r="B183" s="11" t="s">
        <v>519</v>
      </c>
      <c r="C183" s="15" t="s">
        <v>405</v>
      </c>
      <c r="D183" s="8" t="s">
        <v>608</v>
      </c>
      <c r="E183" s="12">
        <v>0</v>
      </c>
      <c r="F183" s="12"/>
      <c r="G183" s="18">
        <f>[1]!Tabela2[[#This Row],[VOL.]]*[1]!Tabela2[[#This Row],[UNID.]]</f>
        <v>0</v>
      </c>
    </row>
    <row r="184" spans="1:7" x14ac:dyDescent="0.25">
      <c r="A184" s="8">
        <v>295</v>
      </c>
      <c r="B184" s="11" t="s">
        <v>519</v>
      </c>
      <c r="C184" s="15" t="s">
        <v>625</v>
      </c>
      <c r="D184" s="8" t="s">
        <v>608</v>
      </c>
      <c r="E184" s="12">
        <v>0</v>
      </c>
      <c r="F184" s="12"/>
      <c r="G184" s="18">
        <f>[1]!Tabela2[[#This Row],[VOL.]]*[1]!Tabela2[[#This Row],[UNID.]]</f>
        <v>40</v>
      </c>
    </row>
    <row r="185" spans="1:7" hidden="1" x14ac:dyDescent="0.25">
      <c r="A185" s="8">
        <v>296</v>
      </c>
      <c r="B185" s="11" t="s">
        <v>519</v>
      </c>
      <c r="C185" s="15" t="s">
        <v>626</v>
      </c>
      <c r="D185" s="8" t="s">
        <v>608</v>
      </c>
      <c r="E185" s="12">
        <v>2</v>
      </c>
      <c r="F185" s="12">
        <v>20</v>
      </c>
      <c r="G185" s="18">
        <f>[1]!Tabela2[[#This Row],[VOL.]]*[1]!Tabela2[[#This Row],[UNID.]]</f>
        <v>0</v>
      </c>
    </row>
    <row r="186" spans="1:7" x14ac:dyDescent="0.25">
      <c r="A186" s="8">
        <v>297</v>
      </c>
      <c r="B186" s="11" t="s">
        <v>546</v>
      </c>
      <c r="C186" s="15" t="s">
        <v>405</v>
      </c>
      <c r="D186" s="8" t="s">
        <v>608</v>
      </c>
      <c r="E186" s="12">
        <v>0</v>
      </c>
      <c r="F186" s="12">
        <v>20</v>
      </c>
      <c r="G186" s="18">
        <f>[1]!Tabela2[[#This Row],[VOL.]]*[1]!Tabela2[[#This Row],[UNID.]]</f>
        <v>0</v>
      </c>
    </row>
    <row r="187" spans="1:7" x14ac:dyDescent="0.25">
      <c r="A187" s="8">
        <v>298</v>
      </c>
      <c r="B187" s="11" t="s">
        <v>546</v>
      </c>
      <c r="C187" s="15" t="s">
        <v>625</v>
      </c>
      <c r="D187" s="8" t="s">
        <v>608</v>
      </c>
      <c r="E187" s="12">
        <v>0</v>
      </c>
      <c r="F187" s="12">
        <v>20</v>
      </c>
      <c r="G187" s="18">
        <f>[1]!Tabela2[[#This Row],[VOL.]]*[1]!Tabela2[[#This Row],[UNID.]]</f>
        <v>0</v>
      </c>
    </row>
    <row r="188" spans="1:7" x14ac:dyDescent="0.25">
      <c r="A188" s="8">
        <v>299</v>
      </c>
      <c r="B188" s="11" t="s">
        <v>546</v>
      </c>
      <c r="C188" s="15" t="s">
        <v>626</v>
      </c>
      <c r="D188" s="8" t="s">
        <v>608</v>
      </c>
      <c r="E188" s="12">
        <v>0</v>
      </c>
      <c r="F188" s="12">
        <v>20</v>
      </c>
      <c r="G188" s="18">
        <f>[1]!Tabela2[[#This Row],[VOL.]]*[1]!Tabela2[[#This Row],[UNID.]]</f>
        <v>0</v>
      </c>
    </row>
    <row r="189" spans="1:7" hidden="1" x14ac:dyDescent="0.25">
      <c r="A189" s="8">
        <v>300</v>
      </c>
      <c r="B189" s="11" t="s">
        <v>546</v>
      </c>
      <c r="C189" s="15" t="s">
        <v>406</v>
      </c>
      <c r="D189" s="8" t="s">
        <v>608</v>
      </c>
      <c r="E189" s="12">
        <v>1</v>
      </c>
      <c r="F189" s="12">
        <v>20</v>
      </c>
      <c r="G189" s="18">
        <f>[1]!Tabela2[[#This Row],[VOL.]]*[1]!Tabela2[[#This Row],[UNID.]]</f>
        <v>20</v>
      </c>
    </row>
    <row r="190" spans="1:7" x14ac:dyDescent="0.25">
      <c r="A190" s="8">
        <v>301</v>
      </c>
      <c r="B190" s="11" t="s">
        <v>546</v>
      </c>
      <c r="C190" s="15" t="s">
        <v>627</v>
      </c>
      <c r="D190" s="8" t="s">
        <v>608</v>
      </c>
      <c r="E190" s="12">
        <v>0</v>
      </c>
      <c r="F190" s="12"/>
      <c r="G190" s="18">
        <f>[1]!Tabela2[[#This Row],[VOL.]]*[1]!Tabela2[[#This Row],[UNID.]]</f>
        <v>0</v>
      </c>
    </row>
    <row r="191" spans="1:7" x14ac:dyDescent="0.25">
      <c r="A191" s="8">
        <v>302</v>
      </c>
      <c r="B191" s="11" t="s">
        <v>546</v>
      </c>
      <c r="C191" s="15" t="s">
        <v>629</v>
      </c>
      <c r="D191" s="8" t="s">
        <v>608</v>
      </c>
      <c r="E191" s="12">
        <v>0</v>
      </c>
      <c r="F191" s="12"/>
      <c r="G191" s="18">
        <f>[1]!Tabela2[[#This Row],[VOL.]]*[1]!Tabela2[[#This Row],[UNID.]]</f>
        <v>0</v>
      </c>
    </row>
    <row r="192" spans="1:7" x14ac:dyDescent="0.25">
      <c r="A192" s="8">
        <v>303</v>
      </c>
      <c r="B192" s="11" t="s">
        <v>546</v>
      </c>
      <c r="C192" s="15" t="s">
        <v>630</v>
      </c>
      <c r="D192" s="8" t="s">
        <v>608</v>
      </c>
      <c r="E192" s="12">
        <v>0</v>
      </c>
      <c r="F192" s="12"/>
      <c r="G192" s="18">
        <f>[1]!Tabela2[[#This Row],[VOL.]]*[1]!Tabela2[[#This Row],[UNID.]]</f>
        <v>0</v>
      </c>
    </row>
    <row r="193" spans="1:7" x14ac:dyDescent="0.25">
      <c r="A193" s="8">
        <v>304</v>
      </c>
      <c r="B193" s="11" t="s">
        <v>546</v>
      </c>
      <c r="C193" s="15" t="s">
        <v>631</v>
      </c>
      <c r="D193" s="8" t="s">
        <v>608</v>
      </c>
      <c r="E193" s="12">
        <v>0</v>
      </c>
      <c r="F193" s="12"/>
      <c r="G193" s="18">
        <f>[1]!Tabela2[[#This Row],[VOL.]]*[1]!Tabela2[[#This Row],[UNID.]]</f>
        <v>0</v>
      </c>
    </row>
    <row r="194" spans="1:7" x14ac:dyDescent="0.25">
      <c r="A194" s="8">
        <v>1641</v>
      </c>
      <c r="B194" s="11" t="s">
        <v>547</v>
      </c>
      <c r="C194" s="15"/>
      <c r="D194" s="8" t="s">
        <v>615</v>
      </c>
      <c r="E194" s="12"/>
      <c r="F194" s="12">
        <v>1000</v>
      </c>
      <c r="G194" s="18">
        <f>[1]!Tabela2[[#This Row],[VOL.]]*[1]!Tabela2[[#This Row],[UNID.]]</f>
        <v>0</v>
      </c>
    </row>
    <row r="195" spans="1:7" hidden="1" x14ac:dyDescent="0.25">
      <c r="A195" s="8">
        <v>1642</v>
      </c>
      <c r="B195" s="11" t="s">
        <v>548</v>
      </c>
      <c r="C195" s="15"/>
      <c r="D195" s="8" t="s">
        <v>615</v>
      </c>
      <c r="E195" s="12">
        <v>0</v>
      </c>
      <c r="F195" s="12">
        <v>1000</v>
      </c>
      <c r="G195" s="18">
        <f>[1]!Tabela2[[#This Row],[VOL.]]*[1]!Tabela2[[#This Row],[UNID.]]</f>
        <v>0</v>
      </c>
    </row>
    <row r="196" spans="1:7" hidden="1" x14ac:dyDescent="0.25">
      <c r="A196" s="8">
        <v>1643</v>
      </c>
      <c r="B196" s="11" t="s">
        <v>549</v>
      </c>
      <c r="C196" s="15"/>
      <c r="D196" s="8" t="s">
        <v>615</v>
      </c>
      <c r="E196" s="12">
        <v>0</v>
      </c>
      <c r="F196" s="12">
        <v>900</v>
      </c>
      <c r="G196" s="18">
        <f>[1]!Tabela2[[#This Row],[VOL.]]*[1]!Tabela2[[#This Row],[UNID.]]</f>
        <v>0</v>
      </c>
    </row>
    <row r="197" spans="1:7" hidden="1" x14ac:dyDescent="0.25">
      <c r="A197" s="8">
        <v>327</v>
      </c>
      <c r="B197" s="11" t="s">
        <v>550</v>
      </c>
      <c r="C197" s="15" t="s">
        <v>351</v>
      </c>
      <c r="D197" s="8" t="s">
        <v>598</v>
      </c>
      <c r="E197" s="12">
        <v>0</v>
      </c>
      <c r="F197" s="12">
        <v>50</v>
      </c>
      <c r="G197" s="18">
        <f>[1]!Tabela2[[#This Row],[VOL.]]*[1]!Tabela2[[#This Row],[UNID.]]</f>
        <v>0</v>
      </c>
    </row>
    <row r="198" spans="1:7" hidden="1" x14ac:dyDescent="0.25">
      <c r="A198" s="8">
        <v>327</v>
      </c>
      <c r="B198" s="11" t="s">
        <v>551</v>
      </c>
      <c r="C198" s="15" t="s">
        <v>632</v>
      </c>
      <c r="D198" s="8" t="s">
        <v>598</v>
      </c>
      <c r="E198" s="12">
        <v>0</v>
      </c>
      <c r="F198" s="12">
        <v>56</v>
      </c>
      <c r="G198" s="18">
        <f>[1]!Tabela2[[#This Row],[VOL.]]*[1]!Tabela2[[#This Row],[UNID.]]</f>
        <v>0</v>
      </c>
    </row>
    <row r="199" spans="1:7" hidden="1" x14ac:dyDescent="0.25">
      <c r="A199" s="8">
        <v>328</v>
      </c>
      <c r="B199" s="11" t="s">
        <v>552</v>
      </c>
      <c r="C199" s="15" t="s">
        <v>605</v>
      </c>
      <c r="D199" s="8" t="s">
        <v>598</v>
      </c>
      <c r="E199" s="12">
        <v>0</v>
      </c>
      <c r="F199" s="12">
        <v>50</v>
      </c>
      <c r="G199" s="18">
        <f>[1]!Tabela2[[#This Row],[VOL.]]*[1]!Tabela2[[#This Row],[UNID.]]</f>
        <v>0</v>
      </c>
    </row>
    <row r="200" spans="1:7" x14ac:dyDescent="0.25">
      <c r="A200" s="8">
        <v>328</v>
      </c>
      <c r="B200" s="11" t="s">
        <v>552</v>
      </c>
      <c r="C200" s="15" t="s">
        <v>605</v>
      </c>
      <c r="D200" s="8" t="s">
        <v>598</v>
      </c>
      <c r="E200" s="12">
        <v>0</v>
      </c>
      <c r="F200" s="12">
        <v>50</v>
      </c>
      <c r="G200" s="18">
        <f>[1]!Tabela2[[#This Row],[VOL.]]*[1]!Tabela2[[#This Row],[UNID.]]</f>
        <v>0</v>
      </c>
    </row>
    <row r="201" spans="1:7" hidden="1" x14ac:dyDescent="0.25">
      <c r="A201" s="8">
        <v>329</v>
      </c>
      <c r="B201" s="11" t="s">
        <v>553</v>
      </c>
      <c r="C201" s="15" t="s">
        <v>352</v>
      </c>
      <c r="D201" s="8" t="s">
        <v>598</v>
      </c>
      <c r="E201" s="12">
        <v>0</v>
      </c>
      <c r="F201" s="12">
        <v>50</v>
      </c>
      <c r="G201" s="18">
        <f>[1]!Tabela2[[#This Row],[VOL.]]*[1]!Tabela2[[#This Row],[UNID.]]</f>
        <v>0</v>
      </c>
    </row>
    <row r="202" spans="1:7" hidden="1" x14ac:dyDescent="0.25">
      <c r="A202" s="8">
        <v>329</v>
      </c>
      <c r="B202" s="11" t="s">
        <v>553</v>
      </c>
      <c r="C202" s="15" t="s">
        <v>352</v>
      </c>
      <c r="D202" s="8" t="s">
        <v>598</v>
      </c>
      <c r="E202" s="12">
        <v>0</v>
      </c>
      <c r="F202" s="12">
        <v>50</v>
      </c>
      <c r="G202" s="18">
        <f>[1]!Tabela2[[#This Row],[VOL.]]*[1]!Tabela2[[#This Row],[UNID.]]</f>
        <v>0</v>
      </c>
    </row>
    <row r="203" spans="1:7" hidden="1" x14ac:dyDescent="0.25">
      <c r="A203" s="8">
        <v>330</v>
      </c>
      <c r="B203" s="11" t="s">
        <v>554</v>
      </c>
      <c r="C203" s="15" t="s">
        <v>606</v>
      </c>
      <c r="D203" s="8" t="s">
        <v>598</v>
      </c>
      <c r="E203" s="12">
        <v>0</v>
      </c>
      <c r="F203" s="12">
        <v>90</v>
      </c>
      <c r="G203" s="18">
        <f>[1]!Tabela2[[#This Row],[VOL.]]*[1]!Tabela2[[#This Row],[UNID.]]</f>
        <v>0</v>
      </c>
    </row>
    <row r="204" spans="1:7" hidden="1" x14ac:dyDescent="0.25">
      <c r="A204" s="8">
        <v>330</v>
      </c>
      <c r="B204" s="11" t="s">
        <v>555</v>
      </c>
      <c r="C204" s="15" t="s">
        <v>606</v>
      </c>
      <c r="D204" s="8" t="s">
        <v>598</v>
      </c>
      <c r="E204" s="12">
        <v>15</v>
      </c>
      <c r="F204" s="12">
        <v>50</v>
      </c>
      <c r="G204" s="18">
        <f>[1]!Tabela2[[#This Row],[VOL.]]*[1]!Tabela2[[#This Row],[UNID.]]</f>
        <v>750</v>
      </c>
    </row>
    <row r="205" spans="1:7" x14ac:dyDescent="0.25">
      <c r="A205" s="8">
        <v>331</v>
      </c>
      <c r="B205" s="11" t="s">
        <v>556</v>
      </c>
      <c r="C205" s="15" t="s">
        <v>607</v>
      </c>
      <c r="D205" s="8" t="s">
        <v>598</v>
      </c>
      <c r="E205" s="12">
        <v>0</v>
      </c>
      <c r="F205" s="12"/>
      <c r="G205" s="18">
        <f>[1]!Tabela2[[#This Row],[VOL.]]*[1]!Tabela2[[#This Row],[UNID.]]</f>
        <v>0</v>
      </c>
    </row>
    <row r="206" spans="1:7" x14ac:dyDescent="0.25">
      <c r="A206" s="8">
        <v>331</v>
      </c>
      <c r="B206" s="11" t="s">
        <v>556</v>
      </c>
      <c r="C206" s="15" t="s">
        <v>607</v>
      </c>
      <c r="D206" s="8" t="s">
        <v>598</v>
      </c>
      <c r="E206" s="12">
        <v>0</v>
      </c>
      <c r="F206" s="12"/>
      <c r="G206" s="18">
        <f>[1]!Tabela2[[#This Row],[VOL.]]*[1]!Tabela2[[#This Row],[UNID.]]</f>
        <v>0</v>
      </c>
    </row>
    <row r="207" spans="1:7" x14ac:dyDescent="0.25">
      <c r="A207" s="8">
        <v>332</v>
      </c>
      <c r="B207" s="11" t="s">
        <v>557</v>
      </c>
      <c r="C207" s="15" t="s">
        <v>355</v>
      </c>
      <c r="D207" s="8" t="s">
        <v>598</v>
      </c>
      <c r="E207" s="12">
        <v>0</v>
      </c>
      <c r="F207" s="12">
        <v>40</v>
      </c>
      <c r="G207" s="18">
        <f>[1]!Tabela2[[#This Row],[VOL.]]*[1]!Tabela2[[#This Row],[UNID.]]</f>
        <v>0</v>
      </c>
    </row>
    <row r="208" spans="1:7" hidden="1" x14ac:dyDescent="0.25">
      <c r="A208" s="8">
        <v>332</v>
      </c>
      <c r="B208" s="11" t="s">
        <v>557</v>
      </c>
      <c r="C208" s="15" t="s">
        <v>355</v>
      </c>
      <c r="D208" s="8" t="s">
        <v>598</v>
      </c>
      <c r="E208" s="12">
        <v>3</v>
      </c>
      <c r="F208" s="12">
        <v>40</v>
      </c>
      <c r="G208" s="18">
        <f>[1]!Tabela2[[#This Row],[VOL.]]*[1]!Tabela2[[#This Row],[UNID.]]</f>
        <v>120</v>
      </c>
    </row>
    <row r="209" spans="1:7" hidden="1" x14ac:dyDescent="0.25">
      <c r="A209" s="8">
        <v>333</v>
      </c>
      <c r="B209" s="11" t="s">
        <v>465</v>
      </c>
      <c r="C209" s="15" t="s">
        <v>609</v>
      </c>
      <c r="D209" s="8" t="s">
        <v>598</v>
      </c>
      <c r="E209" s="12">
        <v>0</v>
      </c>
      <c r="F209" s="12">
        <v>50</v>
      </c>
      <c r="G209" s="18">
        <f>[1]!Tabela2[[#This Row],[VOL.]]*[1]!Tabela2[[#This Row],[UNID.]]</f>
        <v>0</v>
      </c>
    </row>
    <row r="210" spans="1:7" x14ac:dyDescent="0.25">
      <c r="A210" s="8">
        <v>333</v>
      </c>
      <c r="B210" s="11" t="s">
        <v>465</v>
      </c>
      <c r="C210" s="15" t="s">
        <v>609</v>
      </c>
      <c r="D210" s="8" t="s">
        <v>598</v>
      </c>
      <c r="E210" s="12">
        <v>1</v>
      </c>
      <c r="F210" s="12"/>
      <c r="G210" s="18">
        <f>[1]!Tabela2[[#This Row],[VOL.]]*[1]!Tabela2[[#This Row],[UNID.]]</f>
        <v>0</v>
      </c>
    </row>
    <row r="211" spans="1:7" x14ac:dyDescent="0.25">
      <c r="A211" s="8">
        <v>1690</v>
      </c>
      <c r="B211" s="11" t="s">
        <v>475</v>
      </c>
      <c r="C211" s="15" t="s">
        <v>356</v>
      </c>
      <c r="D211" s="8" t="s">
        <v>598</v>
      </c>
      <c r="E211" s="12">
        <v>0</v>
      </c>
      <c r="F211" s="12">
        <v>32</v>
      </c>
      <c r="G211" s="18">
        <f>[1]!Tabela2[[#This Row],[VOL.]]*[1]!Tabela2[[#This Row],[UNID.]]</f>
        <v>0</v>
      </c>
    </row>
    <row r="212" spans="1:7" hidden="1" x14ac:dyDescent="0.25">
      <c r="A212" s="8">
        <v>334</v>
      </c>
      <c r="B212" s="11" t="s">
        <v>558</v>
      </c>
      <c r="C212" s="15" t="s">
        <v>610</v>
      </c>
      <c r="D212" s="8" t="s">
        <v>598</v>
      </c>
      <c r="E212" s="12">
        <v>4</v>
      </c>
      <c r="F212" s="12">
        <v>40</v>
      </c>
      <c r="G212" s="18">
        <f>[1]!Tabela2[[#This Row],[VOL.]]*[1]!Tabela2[[#This Row],[UNID.]]</f>
        <v>160</v>
      </c>
    </row>
    <row r="213" spans="1:7" hidden="1" x14ac:dyDescent="0.25">
      <c r="A213" s="8">
        <v>335</v>
      </c>
      <c r="B213" s="11" t="s">
        <v>559</v>
      </c>
      <c r="C213" s="15" t="s">
        <v>611</v>
      </c>
      <c r="D213" s="8" t="s">
        <v>598</v>
      </c>
      <c r="E213" s="12">
        <v>0</v>
      </c>
      <c r="F213" s="12">
        <v>40</v>
      </c>
      <c r="G213" s="18">
        <f>[1]!Tabela2[[#This Row],[VOL.]]*[1]!Tabela2[[#This Row],[UNID.]]</f>
        <v>0</v>
      </c>
    </row>
    <row r="214" spans="1:7" hidden="1" x14ac:dyDescent="0.25">
      <c r="A214" s="8">
        <v>335</v>
      </c>
      <c r="B214" s="11" t="s">
        <v>559</v>
      </c>
      <c r="C214" s="15" t="s">
        <v>611</v>
      </c>
      <c r="D214" s="8" t="s">
        <v>598</v>
      </c>
      <c r="E214" s="12">
        <v>0</v>
      </c>
      <c r="F214" s="12">
        <v>30</v>
      </c>
      <c r="G214" s="18">
        <f>[1]!Tabela2[[#This Row],[VOL.]]*[1]!Tabela2[[#This Row],[UNID.]]</f>
        <v>0</v>
      </c>
    </row>
    <row r="215" spans="1:7" hidden="1" x14ac:dyDescent="0.25">
      <c r="A215" s="8">
        <v>336</v>
      </c>
      <c r="B215" s="11" t="s">
        <v>560</v>
      </c>
      <c r="C215" s="15" t="s">
        <v>356</v>
      </c>
      <c r="D215" s="8" t="s">
        <v>598</v>
      </c>
      <c r="E215" s="12">
        <v>0</v>
      </c>
      <c r="F215" s="12">
        <v>40</v>
      </c>
      <c r="G215" s="18">
        <f>[1]!Tabela2[[#This Row],[VOL.]]*[1]!Tabela2[[#This Row],[UNID.]]</f>
        <v>0</v>
      </c>
    </row>
    <row r="216" spans="1:7" hidden="1" x14ac:dyDescent="0.25">
      <c r="A216" s="8">
        <v>336</v>
      </c>
      <c r="B216" s="11" t="s">
        <v>560</v>
      </c>
      <c r="C216" s="15" t="s">
        <v>356</v>
      </c>
      <c r="D216" s="8" t="s">
        <v>598</v>
      </c>
      <c r="E216" s="12">
        <v>0</v>
      </c>
      <c r="F216" s="12">
        <v>40</v>
      </c>
      <c r="G216" s="18">
        <f>[1]!Tabela2[[#This Row],[VOL.]]*[1]!Tabela2[[#This Row],[UNID.]]</f>
        <v>0</v>
      </c>
    </row>
    <row r="217" spans="1:7" hidden="1" x14ac:dyDescent="0.25">
      <c r="A217" s="8">
        <v>337</v>
      </c>
      <c r="B217" s="11" t="s">
        <v>561</v>
      </c>
      <c r="C217" s="15" t="s">
        <v>612</v>
      </c>
      <c r="D217" s="8" t="s">
        <v>598</v>
      </c>
      <c r="E217" s="12">
        <v>0</v>
      </c>
      <c r="F217" s="12">
        <v>32</v>
      </c>
      <c r="G217" s="18">
        <f>[1]!Tabela2[[#This Row],[VOL.]]*[1]!Tabela2[[#This Row],[UNID.]]</f>
        <v>0</v>
      </c>
    </row>
    <row r="218" spans="1:7" x14ac:dyDescent="0.25">
      <c r="A218" s="8">
        <v>337</v>
      </c>
      <c r="B218" s="11" t="s">
        <v>561</v>
      </c>
      <c r="C218" s="15" t="s">
        <v>612</v>
      </c>
      <c r="D218" s="8" t="s">
        <v>598</v>
      </c>
      <c r="E218" s="12">
        <v>0</v>
      </c>
      <c r="F218" s="12">
        <v>32</v>
      </c>
      <c r="G218" s="18">
        <f>[1]!Tabela2[[#This Row],[VOL.]]*[1]!Tabela2[[#This Row],[UNID.]]</f>
        <v>0</v>
      </c>
    </row>
    <row r="219" spans="1:7" hidden="1" x14ac:dyDescent="0.25">
      <c r="A219" s="8">
        <v>339</v>
      </c>
      <c r="B219" s="11" t="s">
        <v>562</v>
      </c>
      <c r="C219" s="15" t="s">
        <v>611</v>
      </c>
      <c r="D219" s="8" t="s">
        <v>608</v>
      </c>
      <c r="E219" s="12">
        <v>4</v>
      </c>
      <c r="F219" s="12">
        <v>32</v>
      </c>
      <c r="G219" s="18">
        <f>[1]!Tabela2[[#This Row],[VOL.]]*[1]!Tabela2[[#This Row],[UNID.]]</f>
        <v>0</v>
      </c>
    </row>
    <row r="220" spans="1:7" hidden="1" x14ac:dyDescent="0.25">
      <c r="A220" s="8">
        <v>339</v>
      </c>
      <c r="B220" s="11" t="s">
        <v>562</v>
      </c>
      <c r="C220" s="15" t="s">
        <v>611</v>
      </c>
      <c r="D220" s="8" t="s">
        <v>608</v>
      </c>
      <c r="E220" s="12">
        <v>0</v>
      </c>
      <c r="F220" s="12">
        <v>32</v>
      </c>
      <c r="G220" s="18">
        <f>[1]!Tabela2[[#This Row],[VOL.]]*[1]!Tabela2[[#This Row],[UNID.]]</f>
        <v>0</v>
      </c>
    </row>
    <row r="221" spans="1:7" x14ac:dyDescent="0.25">
      <c r="A221" s="8">
        <v>340</v>
      </c>
      <c r="B221" s="11" t="s">
        <v>461</v>
      </c>
      <c r="C221" s="15" t="s">
        <v>612</v>
      </c>
      <c r="D221" s="8" t="s">
        <v>608</v>
      </c>
      <c r="E221" s="12">
        <v>0</v>
      </c>
      <c r="F221" s="12">
        <v>32</v>
      </c>
      <c r="G221" s="18">
        <f>[1]!Tabela2[[#This Row],[VOL.]]*[1]!Tabela2[[#This Row],[UNID.]]</f>
        <v>0</v>
      </c>
    </row>
    <row r="222" spans="1:7" x14ac:dyDescent="0.25">
      <c r="A222" s="8">
        <v>340</v>
      </c>
      <c r="B222" s="11" t="s">
        <v>461</v>
      </c>
      <c r="C222" s="15" t="s">
        <v>612</v>
      </c>
      <c r="D222" s="8" t="s">
        <v>608</v>
      </c>
      <c r="E222" s="12">
        <v>0</v>
      </c>
      <c r="F222" s="12">
        <v>32</v>
      </c>
      <c r="G222" s="18">
        <f>[1]!Tabela2[[#This Row],[VOL.]]*[1]!Tabela2[[#This Row],[UNID.]]</f>
        <v>0</v>
      </c>
    </row>
    <row r="223" spans="1:7" x14ac:dyDescent="0.25">
      <c r="A223" s="8">
        <v>341</v>
      </c>
      <c r="B223" s="11" t="s">
        <v>461</v>
      </c>
      <c r="C223" s="15" t="s">
        <v>357</v>
      </c>
      <c r="D223" s="8" t="s">
        <v>608</v>
      </c>
      <c r="E223" s="12">
        <v>0</v>
      </c>
      <c r="F223" s="12">
        <v>32</v>
      </c>
      <c r="G223" s="18">
        <f>[1]!Tabela2[[#This Row],[VOL.]]*[1]!Tabela2[[#This Row],[UNID.]]</f>
        <v>0</v>
      </c>
    </row>
    <row r="224" spans="1:7" x14ac:dyDescent="0.25">
      <c r="A224" s="8">
        <v>341</v>
      </c>
      <c r="B224" s="11" t="s">
        <v>461</v>
      </c>
      <c r="C224" s="15" t="s">
        <v>357</v>
      </c>
      <c r="D224" s="8" t="s">
        <v>608</v>
      </c>
      <c r="E224" s="12">
        <v>0</v>
      </c>
      <c r="F224" s="12">
        <v>32</v>
      </c>
      <c r="G224" s="18">
        <f>[1]!Tabela2[[#This Row],[VOL.]]*[1]!Tabela2[[#This Row],[UNID.]]</f>
        <v>0</v>
      </c>
    </row>
    <row r="225" spans="1:7" x14ac:dyDescent="0.25">
      <c r="A225" s="8">
        <v>342</v>
      </c>
      <c r="B225" s="11" t="s">
        <v>461</v>
      </c>
      <c r="C225" s="15" t="s">
        <v>613</v>
      </c>
      <c r="D225" s="8" t="s">
        <v>608</v>
      </c>
      <c r="E225" s="12">
        <v>0</v>
      </c>
      <c r="F225" s="12">
        <v>32</v>
      </c>
      <c r="G225" s="18">
        <f>[1]!Tabela2[[#This Row],[VOL.]]*[1]!Tabela2[[#This Row],[UNID.]]</f>
        <v>0</v>
      </c>
    </row>
    <row r="226" spans="1:7" x14ac:dyDescent="0.25">
      <c r="A226" s="8">
        <v>342</v>
      </c>
      <c r="B226" s="11" t="s">
        <v>461</v>
      </c>
      <c r="C226" s="15" t="s">
        <v>613</v>
      </c>
      <c r="D226" s="8" t="s">
        <v>608</v>
      </c>
      <c r="E226" s="12">
        <v>0</v>
      </c>
      <c r="F226" s="12">
        <v>32</v>
      </c>
      <c r="G226" s="18">
        <f>[1]!Tabela2[[#This Row],[VOL.]]*[1]!Tabela2[[#This Row],[UNID.]]</f>
        <v>0</v>
      </c>
    </row>
    <row r="227" spans="1:7" x14ac:dyDescent="0.25">
      <c r="A227" s="8">
        <v>343</v>
      </c>
      <c r="B227" s="11" t="s">
        <v>461</v>
      </c>
      <c r="C227" s="15" t="s">
        <v>620</v>
      </c>
      <c r="D227" s="8" t="s">
        <v>608</v>
      </c>
      <c r="E227" s="12">
        <v>0</v>
      </c>
      <c r="F227" s="12"/>
      <c r="G227" s="18">
        <f>[1]!Tabela2[[#This Row],[VOL.]]*[1]!Tabela2[[#This Row],[UNID.]]</f>
        <v>0</v>
      </c>
    </row>
    <row r="228" spans="1:7" x14ac:dyDescent="0.25">
      <c r="A228" s="8">
        <v>343</v>
      </c>
      <c r="B228" s="11" t="s">
        <v>461</v>
      </c>
      <c r="C228" s="15" t="s">
        <v>620</v>
      </c>
      <c r="D228" s="8" t="s">
        <v>608</v>
      </c>
      <c r="E228" s="12">
        <v>0</v>
      </c>
      <c r="F228" s="12"/>
      <c r="G228" s="18">
        <f>[1]!Tabela2[[#This Row],[VOL.]]*[1]!Tabela2[[#This Row],[UNID.]]</f>
        <v>0</v>
      </c>
    </row>
    <row r="229" spans="1:7" x14ac:dyDescent="0.25">
      <c r="A229" s="8">
        <v>344</v>
      </c>
      <c r="B229" s="11" t="s">
        <v>461</v>
      </c>
      <c r="C229" s="15" t="s">
        <v>358</v>
      </c>
      <c r="D229" s="8" t="s">
        <v>608</v>
      </c>
      <c r="E229" s="12">
        <v>0</v>
      </c>
      <c r="F229" s="12"/>
      <c r="G229" s="18">
        <f>[1]!Tabela2[[#This Row],[VOL.]]*[1]!Tabela2[[#This Row],[UNID.]]</f>
        <v>0</v>
      </c>
    </row>
    <row r="230" spans="1:7" x14ac:dyDescent="0.25">
      <c r="A230" s="8">
        <v>344</v>
      </c>
      <c r="B230" s="11" t="s">
        <v>461</v>
      </c>
      <c r="C230" s="15" t="s">
        <v>358</v>
      </c>
      <c r="D230" s="8" t="s">
        <v>608</v>
      </c>
      <c r="E230" s="12">
        <v>0</v>
      </c>
      <c r="F230" s="12"/>
      <c r="G230" s="18">
        <f>[1]!Tabela2[[#This Row],[VOL.]]*[1]!Tabela2[[#This Row],[UNID.]]</f>
        <v>0</v>
      </c>
    </row>
    <row r="231" spans="1:7" x14ac:dyDescent="0.25">
      <c r="A231" s="8">
        <v>345</v>
      </c>
      <c r="B231" s="11" t="s">
        <v>461</v>
      </c>
      <c r="C231" s="15" t="s">
        <v>614</v>
      </c>
      <c r="D231" s="8" t="s">
        <v>608</v>
      </c>
      <c r="E231" s="12">
        <v>0</v>
      </c>
      <c r="F231" s="12"/>
      <c r="G231" s="18">
        <f>[1]!Tabela2[[#This Row],[VOL.]]*[1]!Tabela2[[#This Row],[UNID.]]</f>
        <v>0</v>
      </c>
    </row>
    <row r="232" spans="1:7" x14ac:dyDescent="0.25">
      <c r="A232" s="8">
        <v>345</v>
      </c>
      <c r="B232" s="11" t="s">
        <v>461</v>
      </c>
      <c r="C232" s="15" t="s">
        <v>614</v>
      </c>
      <c r="D232" s="8" t="s">
        <v>608</v>
      </c>
      <c r="E232" s="12">
        <v>0</v>
      </c>
      <c r="F232" s="12"/>
      <c r="G232" s="18">
        <f>[1]!Tabela2[[#This Row],[VOL.]]*[1]!Tabela2[[#This Row],[UNID.]]</f>
        <v>0</v>
      </c>
    </row>
    <row r="233" spans="1:7" x14ac:dyDescent="0.25">
      <c r="A233" s="8">
        <v>346</v>
      </c>
      <c r="B233" s="11" t="s">
        <v>461</v>
      </c>
      <c r="C233" s="15" t="s">
        <v>359</v>
      </c>
      <c r="D233" s="8" t="s">
        <v>608</v>
      </c>
      <c r="E233" s="12">
        <v>0</v>
      </c>
      <c r="F233" s="12"/>
      <c r="G233" s="18">
        <f>[1]!Tabela2[[#This Row],[VOL.]]*[1]!Tabela2[[#This Row],[UNID.]]</f>
        <v>0</v>
      </c>
    </row>
    <row r="234" spans="1:7" x14ac:dyDescent="0.25">
      <c r="A234" s="8">
        <v>346</v>
      </c>
      <c r="B234" s="11" t="s">
        <v>461</v>
      </c>
      <c r="C234" s="15" t="s">
        <v>359</v>
      </c>
      <c r="D234" s="8" t="s">
        <v>608</v>
      </c>
      <c r="E234" s="12">
        <v>0</v>
      </c>
      <c r="F234" s="12"/>
      <c r="G234" s="18">
        <f>[1]!Tabela2[[#This Row],[VOL.]]*[1]!Tabela2[[#This Row],[UNID.]]</f>
        <v>0</v>
      </c>
    </row>
    <row r="235" spans="1:7" x14ac:dyDescent="0.25">
      <c r="A235" s="8">
        <v>347</v>
      </c>
      <c r="B235" s="11" t="s">
        <v>461</v>
      </c>
      <c r="C235" s="15" t="s">
        <v>616</v>
      </c>
      <c r="D235" s="8" t="s">
        <v>608</v>
      </c>
      <c r="E235" s="12">
        <v>0</v>
      </c>
      <c r="F235" s="12"/>
      <c r="G235" s="18">
        <f>[1]!Tabela2[[#This Row],[VOL.]]*[1]!Tabela2[[#This Row],[UNID.]]</f>
        <v>0</v>
      </c>
    </row>
    <row r="236" spans="1:7" x14ac:dyDescent="0.25">
      <c r="A236" s="8">
        <v>347</v>
      </c>
      <c r="B236" s="11" t="s">
        <v>461</v>
      </c>
      <c r="C236" s="15" t="s">
        <v>616</v>
      </c>
      <c r="D236" s="8" t="s">
        <v>608</v>
      </c>
      <c r="E236" s="12">
        <v>0</v>
      </c>
      <c r="F236" s="12"/>
      <c r="G236" s="18">
        <f>[1]!Tabela2[[#This Row],[VOL.]]*[1]!Tabela2[[#This Row],[UNID.]]</f>
        <v>0</v>
      </c>
    </row>
    <row r="237" spans="1:7" x14ac:dyDescent="0.25">
      <c r="A237" s="8">
        <v>348</v>
      </c>
      <c r="B237" s="11" t="s">
        <v>461</v>
      </c>
      <c r="C237" s="15" t="s">
        <v>360</v>
      </c>
      <c r="D237" s="8" t="s">
        <v>608</v>
      </c>
      <c r="E237" s="12">
        <v>0</v>
      </c>
      <c r="F237" s="12"/>
      <c r="G237" s="18">
        <f>[1]!Tabela2[[#This Row],[VOL.]]*[1]!Tabela2[[#This Row],[UNID.]]</f>
        <v>0</v>
      </c>
    </row>
    <row r="238" spans="1:7" x14ac:dyDescent="0.25">
      <c r="A238" s="8">
        <v>348</v>
      </c>
      <c r="B238" s="11" t="s">
        <v>461</v>
      </c>
      <c r="C238" s="15" t="s">
        <v>360</v>
      </c>
      <c r="D238" s="8" t="s">
        <v>608</v>
      </c>
      <c r="E238" s="12">
        <v>0</v>
      </c>
      <c r="F238" s="12"/>
      <c r="G238" s="18">
        <f>[1]!Tabela2[[#This Row],[VOL.]]*[1]!Tabela2[[#This Row],[UNID.]]</f>
        <v>0</v>
      </c>
    </row>
    <row r="239" spans="1:7" x14ac:dyDescent="0.25">
      <c r="A239" s="8">
        <v>1697</v>
      </c>
      <c r="B239" s="11" t="s">
        <v>461</v>
      </c>
      <c r="C239" s="15" t="s">
        <v>356</v>
      </c>
      <c r="D239" s="8" t="s">
        <v>615</v>
      </c>
      <c r="E239" s="12"/>
      <c r="F239" s="12">
        <v>32</v>
      </c>
      <c r="G239" s="18">
        <f>[1]!Tabela2[[#This Row],[VOL.]]*[1]!Tabela2[[#This Row],[UNID.]]</f>
        <v>0</v>
      </c>
    </row>
    <row r="240" spans="1:7" x14ac:dyDescent="0.25">
      <c r="A240" s="8">
        <v>1700</v>
      </c>
      <c r="B240" s="11" t="s">
        <v>461</v>
      </c>
      <c r="C240" s="15" t="s">
        <v>611</v>
      </c>
      <c r="D240" s="8" t="s">
        <v>615</v>
      </c>
      <c r="E240" s="12"/>
      <c r="F240" s="12">
        <v>32</v>
      </c>
      <c r="G240" s="18">
        <f>[1]!Tabela2[[#This Row],[VOL.]]*[1]!Tabela2[[#This Row],[UNID.]]</f>
        <v>0</v>
      </c>
    </row>
    <row r="241" spans="1:7" hidden="1" x14ac:dyDescent="0.25">
      <c r="A241" s="8">
        <v>349</v>
      </c>
      <c r="B241" s="11" t="s">
        <v>462</v>
      </c>
      <c r="C241" s="15" t="s">
        <v>357</v>
      </c>
      <c r="D241" s="8" t="s">
        <v>608</v>
      </c>
      <c r="E241" s="12">
        <v>0</v>
      </c>
      <c r="F241" s="12">
        <v>32</v>
      </c>
      <c r="G241" s="18">
        <f>[1]!Tabela2[[#This Row],[VOL.]]*[1]!Tabela2[[#This Row],[UNID.]]</f>
        <v>32</v>
      </c>
    </row>
    <row r="242" spans="1:7" x14ac:dyDescent="0.25">
      <c r="A242" s="8">
        <v>350</v>
      </c>
      <c r="B242" s="11" t="s">
        <v>463</v>
      </c>
      <c r="C242" s="15" t="s">
        <v>613</v>
      </c>
      <c r="D242" s="8" t="s">
        <v>608</v>
      </c>
      <c r="E242" s="12">
        <v>0</v>
      </c>
      <c r="F242" s="12">
        <v>32</v>
      </c>
      <c r="G242" s="18">
        <f>[1]!Tabela2[[#This Row],[VOL.]]*[1]!Tabela2[[#This Row],[UNID.]]</f>
        <v>0</v>
      </c>
    </row>
    <row r="243" spans="1:7" x14ac:dyDescent="0.25">
      <c r="A243" s="8">
        <v>351</v>
      </c>
      <c r="B243" s="11" t="s">
        <v>463</v>
      </c>
      <c r="C243" s="15" t="s">
        <v>620</v>
      </c>
      <c r="D243" s="8" t="s">
        <v>608</v>
      </c>
      <c r="E243" s="12">
        <v>0</v>
      </c>
      <c r="F243" s="12"/>
      <c r="G243" s="18">
        <f>[1]!Tabela2[[#This Row],[VOL.]]*[1]!Tabela2[[#This Row],[UNID.]]</f>
        <v>0</v>
      </c>
    </row>
    <row r="244" spans="1:7" x14ac:dyDescent="0.25">
      <c r="A244" s="8">
        <v>352</v>
      </c>
      <c r="B244" s="11" t="s">
        <v>463</v>
      </c>
      <c r="C244" s="15" t="s">
        <v>358</v>
      </c>
      <c r="D244" s="8" t="s">
        <v>608</v>
      </c>
      <c r="E244" s="12">
        <v>0</v>
      </c>
      <c r="F244" s="12"/>
      <c r="G244" s="18">
        <f>[1]!Tabela2[[#This Row],[VOL.]]*[1]!Tabela2[[#This Row],[UNID.]]</f>
        <v>0</v>
      </c>
    </row>
    <row r="245" spans="1:7" x14ac:dyDescent="0.25">
      <c r="A245" s="8">
        <v>353</v>
      </c>
      <c r="B245" s="11" t="s">
        <v>463</v>
      </c>
      <c r="C245" s="15" t="s">
        <v>614</v>
      </c>
      <c r="D245" s="8" t="s">
        <v>608</v>
      </c>
      <c r="E245" s="12">
        <v>0</v>
      </c>
      <c r="F245" s="12"/>
      <c r="G245" s="18">
        <f>[1]!Tabela2[[#This Row],[VOL.]]*[1]!Tabela2[[#This Row],[UNID.]]</f>
        <v>0</v>
      </c>
    </row>
    <row r="246" spans="1:7" x14ac:dyDescent="0.25">
      <c r="A246" s="8">
        <v>354</v>
      </c>
      <c r="B246" s="11" t="s">
        <v>463</v>
      </c>
      <c r="C246" s="15" t="s">
        <v>359</v>
      </c>
      <c r="D246" s="8" t="s">
        <v>608</v>
      </c>
      <c r="E246" s="12">
        <v>0</v>
      </c>
      <c r="F246" s="12"/>
      <c r="G246" s="18">
        <f>[1]!Tabela2[[#This Row],[VOL.]]*[1]!Tabela2[[#This Row],[UNID.]]</f>
        <v>0</v>
      </c>
    </row>
    <row r="247" spans="1:7" x14ac:dyDescent="0.25">
      <c r="A247" s="8">
        <v>355</v>
      </c>
      <c r="B247" s="11" t="s">
        <v>463</v>
      </c>
      <c r="C247" s="15" t="s">
        <v>616</v>
      </c>
      <c r="D247" s="8" t="s">
        <v>608</v>
      </c>
      <c r="E247" s="12">
        <v>0</v>
      </c>
      <c r="F247" s="12"/>
      <c r="G247" s="18">
        <f>[1]!Tabela2[[#This Row],[VOL.]]*[1]!Tabela2[[#This Row],[UNID.]]</f>
        <v>0</v>
      </c>
    </row>
    <row r="248" spans="1:7" x14ac:dyDescent="0.25">
      <c r="A248" s="8">
        <v>356</v>
      </c>
      <c r="B248" s="11" t="s">
        <v>463</v>
      </c>
      <c r="C248" s="15" t="s">
        <v>360</v>
      </c>
      <c r="D248" s="8" t="s">
        <v>608</v>
      </c>
      <c r="E248" s="12">
        <v>0</v>
      </c>
      <c r="F248" s="12"/>
      <c r="G248" s="18">
        <f>[1]!Tabela2[[#This Row],[VOL.]]*[1]!Tabela2[[#This Row],[UNID.]]</f>
        <v>0</v>
      </c>
    </row>
    <row r="249" spans="1:7" hidden="1" x14ac:dyDescent="0.25">
      <c r="A249" s="8">
        <v>359</v>
      </c>
      <c r="B249" s="11" t="s">
        <v>504</v>
      </c>
      <c r="C249" s="15" t="s">
        <v>607</v>
      </c>
      <c r="D249" s="8" t="s">
        <v>598</v>
      </c>
      <c r="E249" s="12">
        <v>0</v>
      </c>
      <c r="F249" s="12">
        <v>36</v>
      </c>
      <c r="G249" s="18">
        <f>[1]!Tabela2[[#This Row],[VOL.]]*[1]!Tabela2[[#This Row],[UNID.]]</f>
        <v>72</v>
      </c>
    </row>
    <row r="250" spans="1:7" hidden="1" x14ac:dyDescent="0.25">
      <c r="A250" s="8">
        <v>414</v>
      </c>
      <c r="B250" s="11" t="s">
        <v>563</v>
      </c>
      <c r="C250" s="15"/>
      <c r="D250" s="8"/>
      <c r="E250" s="12">
        <v>0</v>
      </c>
      <c r="F250" s="12">
        <v>110</v>
      </c>
      <c r="G250" s="18">
        <f>[1]!Tabela2[[#This Row],[VOL.]]*[1]!Tabela2[[#This Row],[UNID.]]</f>
        <v>0</v>
      </c>
    </row>
    <row r="251" spans="1:7" hidden="1" x14ac:dyDescent="0.25">
      <c r="A251" s="8">
        <v>416</v>
      </c>
      <c r="B251" s="11" t="s">
        <v>564</v>
      </c>
      <c r="C251" s="15"/>
      <c r="D251" s="8"/>
      <c r="E251" s="12">
        <v>0</v>
      </c>
      <c r="F251" s="12">
        <v>100</v>
      </c>
      <c r="G251" s="18">
        <f>[1]!Tabela2[[#This Row],[VOL.]]*[1]!Tabela2[[#This Row],[UNID.]]</f>
        <v>0</v>
      </c>
    </row>
    <row r="252" spans="1:7" hidden="1" x14ac:dyDescent="0.25">
      <c r="A252" s="8">
        <v>417</v>
      </c>
      <c r="B252" s="11" t="s">
        <v>565</v>
      </c>
      <c r="C252" s="15"/>
      <c r="D252" s="8"/>
      <c r="E252" s="12">
        <v>0</v>
      </c>
      <c r="F252" s="12">
        <v>86</v>
      </c>
      <c r="G252" s="18">
        <f>[1]!Tabela2[[#This Row],[VOL.]]*[1]!Tabela2[[#This Row],[UNID.]]</f>
        <v>0</v>
      </c>
    </row>
    <row r="253" spans="1:7" x14ac:dyDescent="0.25">
      <c r="A253" s="8">
        <v>418</v>
      </c>
      <c r="B253" s="11" t="s">
        <v>566</v>
      </c>
      <c r="C253" s="15"/>
      <c r="D253" s="8"/>
      <c r="E253" s="12">
        <v>0</v>
      </c>
      <c r="F253" s="12">
        <v>90</v>
      </c>
      <c r="G253" s="18">
        <f>[1]!Tabela2[[#This Row],[VOL.]]*[1]!Tabela2[[#This Row],[UNID.]]</f>
        <v>0</v>
      </c>
    </row>
    <row r="254" spans="1:7" hidden="1" x14ac:dyDescent="0.25">
      <c r="A254" s="8">
        <v>419</v>
      </c>
      <c r="B254" s="11" t="s">
        <v>567</v>
      </c>
      <c r="C254" s="15"/>
      <c r="D254" s="8"/>
      <c r="E254" s="12">
        <v>0</v>
      </c>
      <c r="F254" s="12">
        <v>70</v>
      </c>
      <c r="G254" s="18">
        <f>[1]!Tabela2[[#This Row],[VOL.]]*[1]!Tabela2[[#This Row],[UNID.]]</f>
        <v>0</v>
      </c>
    </row>
    <row r="255" spans="1:7" hidden="1" x14ac:dyDescent="0.25">
      <c r="A255" s="8">
        <v>420</v>
      </c>
      <c r="B255" s="11" t="s">
        <v>568</v>
      </c>
      <c r="C255" s="15"/>
      <c r="D255" s="8"/>
      <c r="E255" s="12">
        <v>0</v>
      </c>
      <c r="F255" s="12">
        <v>66</v>
      </c>
      <c r="G255" s="18">
        <f>[1]!Tabela2[[#This Row],[VOL.]]*[1]!Tabela2[[#This Row],[UNID.]]</f>
        <v>0</v>
      </c>
    </row>
    <row r="256" spans="1:7" hidden="1" x14ac:dyDescent="0.25">
      <c r="A256" s="8">
        <v>421</v>
      </c>
      <c r="B256" s="11" t="s">
        <v>569</v>
      </c>
      <c r="C256" s="15"/>
      <c r="D256" s="8"/>
      <c r="E256" s="12">
        <v>0</v>
      </c>
      <c r="F256" s="12">
        <v>60</v>
      </c>
      <c r="G256" s="18">
        <f>[1]!Tabela2[[#This Row],[VOL.]]*[1]!Tabela2[[#This Row],[UNID.]]</f>
        <v>0</v>
      </c>
    </row>
    <row r="257" spans="1:7" x14ac:dyDescent="0.25">
      <c r="A257" s="8">
        <v>422</v>
      </c>
      <c r="B257" s="11" t="s">
        <v>570</v>
      </c>
      <c r="C257" s="15"/>
      <c r="D257" s="8"/>
      <c r="E257" s="12">
        <v>0</v>
      </c>
      <c r="F257" s="12">
        <v>70</v>
      </c>
      <c r="G257" s="18">
        <f>[1]!Tabela2[[#This Row],[VOL.]]*[1]!Tabela2[[#This Row],[UNID.]]</f>
        <v>0</v>
      </c>
    </row>
    <row r="258" spans="1:7" hidden="1" x14ac:dyDescent="0.25">
      <c r="A258" s="8">
        <v>423</v>
      </c>
      <c r="B258" s="11" t="s">
        <v>571</v>
      </c>
      <c r="C258" s="15"/>
      <c r="D258" s="8"/>
      <c r="E258" s="12">
        <v>2</v>
      </c>
      <c r="F258" s="12">
        <v>52</v>
      </c>
      <c r="G258" s="18">
        <f>[1]!Tabela2[[#This Row],[VOL.]]*[1]!Tabela2[[#This Row],[UNID.]]</f>
        <v>104</v>
      </c>
    </row>
    <row r="259" spans="1:7" hidden="1" x14ac:dyDescent="0.25">
      <c r="A259" s="8">
        <v>424</v>
      </c>
      <c r="B259" s="11" t="s">
        <v>572</v>
      </c>
      <c r="C259" s="15"/>
      <c r="D259" s="8"/>
      <c r="E259" s="12">
        <v>0</v>
      </c>
      <c r="F259" s="12">
        <v>48</v>
      </c>
      <c r="G259" s="18">
        <f>[1]!Tabela2[[#This Row],[VOL.]]*[1]!Tabela2[[#This Row],[UNID.]]</f>
        <v>0</v>
      </c>
    </row>
    <row r="260" spans="1:7" hidden="1" x14ac:dyDescent="0.25">
      <c r="A260" s="8">
        <v>425</v>
      </c>
      <c r="B260" s="11" t="s">
        <v>573</v>
      </c>
      <c r="C260" s="15"/>
      <c r="D260" s="8"/>
      <c r="E260" s="12">
        <v>0</v>
      </c>
      <c r="F260" s="12">
        <v>44</v>
      </c>
      <c r="G260" s="18">
        <f>[1]!Tabela2[[#This Row],[VOL.]]*[1]!Tabela2[[#This Row],[UNID.]]</f>
        <v>0</v>
      </c>
    </row>
    <row r="261" spans="1:7" x14ac:dyDescent="0.25">
      <c r="A261" s="8">
        <v>426</v>
      </c>
      <c r="B261" s="11" t="s">
        <v>574</v>
      </c>
      <c r="C261" s="15"/>
      <c r="D261" s="8"/>
      <c r="E261" s="12">
        <v>0</v>
      </c>
      <c r="F261" s="12">
        <v>60</v>
      </c>
      <c r="G261" s="18">
        <f>[1]!Tabela2[[#This Row],[VOL.]]*[1]!Tabela2[[#This Row],[UNID.]]</f>
        <v>0</v>
      </c>
    </row>
    <row r="262" spans="1:7" hidden="1" x14ac:dyDescent="0.25">
      <c r="A262" s="8">
        <v>427</v>
      </c>
      <c r="B262" s="11" t="s">
        <v>575</v>
      </c>
      <c r="C262" s="15"/>
      <c r="D262" s="8"/>
      <c r="E262" s="12">
        <v>0</v>
      </c>
      <c r="F262" s="12">
        <v>42</v>
      </c>
      <c r="G262" s="18">
        <f>[1]!Tabela2[[#This Row],[VOL.]]*[1]!Tabela2[[#This Row],[UNID.]]</f>
        <v>0</v>
      </c>
    </row>
    <row r="263" spans="1:7" hidden="1" x14ac:dyDescent="0.25">
      <c r="A263" s="8">
        <v>428</v>
      </c>
      <c r="B263" s="11" t="s">
        <v>576</v>
      </c>
      <c r="C263" s="15"/>
      <c r="D263" s="8"/>
      <c r="E263" s="12">
        <v>0</v>
      </c>
      <c r="F263" s="12">
        <v>32</v>
      </c>
      <c r="G263" s="18">
        <f>[1]!Tabela2[[#This Row],[VOL.]]*[1]!Tabela2[[#This Row],[UNID.]]</f>
        <v>0</v>
      </c>
    </row>
    <row r="264" spans="1:7" hidden="1" x14ac:dyDescent="0.25">
      <c r="A264" s="10">
        <v>429</v>
      </c>
      <c r="B264" s="11" t="s">
        <v>577</v>
      </c>
      <c r="C264" s="15"/>
      <c r="D264" s="8"/>
      <c r="E264" s="12">
        <v>0</v>
      </c>
      <c r="F264" s="12">
        <v>28</v>
      </c>
      <c r="G264" s="18">
        <f>[1]!Tabela2[[#This Row],[VOL.]]*[1]!Tabela2[[#This Row],[UNID.]]</f>
        <v>0</v>
      </c>
    </row>
    <row r="265" spans="1:7" x14ac:dyDescent="0.25">
      <c r="A265" s="8">
        <v>430</v>
      </c>
      <c r="B265" s="11" t="s">
        <v>578</v>
      </c>
      <c r="C265" s="15"/>
      <c r="D265" s="8"/>
      <c r="E265" s="12">
        <v>0</v>
      </c>
      <c r="F265" s="12">
        <v>35</v>
      </c>
      <c r="G265" s="18">
        <f>[1]!Tabela2[[#This Row],[VOL.]]*[1]!Tabela2[[#This Row],[UNID.]]</f>
        <v>0</v>
      </c>
    </row>
    <row r="266" spans="1:7" hidden="1" x14ac:dyDescent="0.25">
      <c r="A266" s="8">
        <v>434</v>
      </c>
      <c r="B266" s="12" t="s">
        <v>579</v>
      </c>
      <c r="C266" s="15"/>
      <c r="D266" s="8" t="s">
        <v>608</v>
      </c>
      <c r="E266" s="12">
        <v>141</v>
      </c>
      <c r="F266" s="12">
        <v>150</v>
      </c>
      <c r="G266" s="18">
        <f>[1]!Tabela2[[#This Row],[VOL.]]*[1]!Tabela2[[#This Row],[UNID.]]</f>
        <v>3150</v>
      </c>
    </row>
    <row r="267" spans="1:7" hidden="1" x14ac:dyDescent="0.25">
      <c r="A267" s="8">
        <v>474</v>
      </c>
      <c r="B267" s="11" t="s">
        <v>580</v>
      </c>
      <c r="C267" s="15"/>
      <c r="D267" s="8"/>
      <c r="E267" s="12">
        <v>0</v>
      </c>
      <c r="F267" s="12">
        <v>70</v>
      </c>
      <c r="G267" s="18">
        <f>[1]!Tabela2[[#This Row],[VOL.]]*[1]!Tabela2[[#This Row],[UNID.]]</f>
        <v>0</v>
      </c>
    </row>
    <row r="268" spans="1:7" x14ac:dyDescent="0.25">
      <c r="A268" s="8">
        <v>475</v>
      </c>
      <c r="B268" s="11" t="s">
        <v>581</v>
      </c>
      <c r="C268" s="15"/>
      <c r="D268" s="8"/>
      <c r="E268" s="12">
        <v>0</v>
      </c>
      <c r="F268" s="12">
        <v>80</v>
      </c>
      <c r="G268" s="18">
        <f>[1]!Tabela2[[#This Row],[VOL.]]*[1]!Tabela2[[#This Row],[UNID.]]</f>
        <v>0</v>
      </c>
    </row>
    <row r="269" spans="1:7" hidden="1" x14ac:dyDescent="0.25">
      <c r="A269" s="8">
        <v>476</v>
      </c>
      <c r="B269" s="11" t="s">
        <v>582</v>
      </c>
      <c r="C269" s="15"/>
      <c r="D269" s="8"/>
      <c r="E269" s="12">
        <v>0</v>
      </c>
      <c r="F269" s="12">
        <v>86</v>
      </c>
      <c r="G269" s="18">
        <f>[1]!Tabela2[[#This Row],[VOL.]]*[1]!Tabela2[[#This Row],[UNID.]]</f>
        <v>0</v>
      </c>
    </row>
    <row r="270" spans="1:7" x14ac:dyDescent="0.25">
      <c r="A270" s="8">
        <v>477</v>
      </c>
      <c r="B270" s="11" t="s">
        <v>583</v>
      </c>
      <c r="C270" s="15"/>
      <c r="D270" s="8"/>
      <c r="E270" s="12">
        <v>0</v>
      </c>
      <c r="F270" s="12">
        <v>85</v>
      </c>
      <c r="G270" s="18">
        <f>[1]!Tabela2[[#This Row],[VOL.]]*[1]!Tabela2[[#This Row],[UNID.]]</f>
        <v>0</v>
      </c>
    </row>
    <row r="271" spans="1:7" hidden="1" x14ac:dyDescent="0.25">
      <c r="A271" s="8">
        <v>478</v>
      </c>
      <c r="B271" s="11" t="s">
        <v>584</v>
      </c>
      <c r="C271" s="15"/>
      <c r="D271" s="8"/>
      <c r="E271" s="12">
        <v>0</v>
      </c>
      <c r="F271" s="12">
        <v>90</v>
      </c>
      <c r="G271" s="18">
        <f>[1]!Tabela2[[#This Row],[VOL.]]*[1]!Tabela2[[#This Row],[UNID.]]</f>
        <v>0</v>
      </c>
    </row>
    <row r="272" spans="1:7" hidden="1" x14ac:dyDescent="0.25">
      <c r="A272" s="8">
        <v>479</v>
      </c>
      <c r="B272" s="11" t="s">
        <v>585</v>
      </c>
      <c r="C272" s="15"/>
      <c r="D272" s="8"/>
      <c r="E272" s="12">
        <v>0</v>
      </c>
      <c r="F272" s="12">
        <v>80</v>
      </c>
      <c r="G272" s="18">
        <f>[1]!Tabela2[[#This Row],[VOL.]]*[1]!Tabela2[[#This Row],[UNID.]]</f>
        <v>0</v>
      </c>
    </row>
    <row r="273" spans="1:7" hidden="1" x14ac:dyDescent="0.25">
      <c r="A273" s="8">
        <v>480</v>
      </c>
      <c r="B273" s="11" t="s">
        <v>586</v>
      </c>
      <c r="C273" s="15"/>
      <c r="D273" s="8" t="s">
        <v>645</v>
      </c>
      <c r="E273" s="12">
        <v>1</v>
      </c>
      <c r="F273" s="12">
        <v>110</v>
      </c>
      <c r="G273" s="18">
        <f>[1]!Tabela2[[#This Row],[VOL.]]*[1]!Tabela2[[#This Row],[UNID.]]</f>
        <v>0</v>
      </c>
    </row>
    <row r="274" spans="1:7" hidden="1" x14ac:dyDescent="0.25">
      <c r="A274" s="8">
        <v>481</v>
      </c>
      <c r="B274" s="11" t="s">
        <v>587</v>
      </c>
      <c r="C274" s="15"/>
      <c r="D274" s="8"/>
      <c r="E274" s="12">
        <v>0</v>
      </c>
      <c r="F274" s="12">
        <v>110</v>
      </c>
      <c r="G274" s="18">
        <f>[1]!Tabela2[[#This Row],[VOL.]]*[1]!Tabela2[[#This Row],[UNID.]]</f>
        <v>0</v>
      </c>
    </row>
    <row r="275" spans="1:7" hidden="1" x14ac:dyDescent="0.25">
      <c r="A275" s="8">
        <v>584</v>
      </c>
      <c r="B275" s="11" t="s">
        <v>534</v>
      </c>
      <c r="C275" s="15"/>
      <c r="D275" s="8" t="s">
        <v>633</v>
      </c>
      <c r="E275" s="12">
        <v>0</v>
      </c>
      <c r="F275" s="12">
        <v>110</v>
      </c>
      <c r="G275" s="18">
        <f>[1]!Tabela2[[#This Row],[VOL.]]*[1]!Tabela2[[#This Row],[UNID.]]</f>
        <v>0</v>
      </c>
    </row>
    <row r="276" spans="1:7" x14ac:dyDescent="0.25">
      <c r="A276" s="8">
        <v>585</v>
      </c>
      <c r="B276" s="11" t="s">
        <v>586</v>
      </c>
      <c r="C276" s="15"/>
      <c r="D276" s="8" t="s">
        <v>633</v>
      </c>
      <c r="E276" s="12">
        <v>0</v>
      </c>
      <c r="F276" s="12">
        <v>110</v>
      </c>
      <c r="G276" s="18">
        <f>[1]!Tabela2[[#This Row],[VOL.]]*[1]!Tabela2[[#This Row],[UNID.]]</f>
        <v>0</v>
      </c>
    </row>
    <row r="277" spans="1:7" hidden="1" x14ac:dyDescent="0.25">
      <c r="A277" s="8">
        <v>586</v>
      </c>
      <c r="B277" s="11" t="s">
        <v>535</v>
      </c>
      <c r="C277" s="15"/>
      <c r="D277" s="8" t="s">
        <v>633</v>
      </c>
      <c r="E277" s="12">
        <v>0</v>
      </c>
      <c r="F277" s="12">
        <v>80</v>
      </c>
      <c r="G277" s="18">
        <f>[1]!Tabela2[[#This Row],[VOL.]]*[1]!Tabela2[[#This Row],[UNID.]]</f>
        <v>0</v>
      </c>
    </row>
    <row r="278" spans="1:7" hidden="1" x14ac:dyDescent="0.25">
      <c r="A278" s="8">
        <v>587</v>
      </c>
      <c r="B278" s="11" t="s">
        <v>536</v>
      </c>
      <c r="C278" s="15"/>
      <c r="D278" s="8" t="s">
        <v>633</v>
      </c>
      <c r="E278" s="12">
        <v>0</v>
      </c>
      <c r="F278" s="12">
        <v>80</v>
      </c>
      <c r="G278" s="18">
        <f>[1]!Tabela2[[#This Row],[VOL.]]*[1]!Tabela2[[#This Row],[UNID.]]</f>
        <v>0</v>
      </c>
    </row>
    <row r="279" spans="1:7" x14ac:dyDescent="0.25">
      <c r="A279" s="8">
        <v>588</v>
      </c>
      <c r="B279" s="11" t="s">
        <v>537</v>
      </c>
      <c r="C279" s="15"/>
      <c r="D279" s="8" t="s">
        <v>633</v>
      </c>
      <c r="E279" s="12">
        <v>0</v>
      </c>
      <c r="F279" s="12">
        <v>50</v>
      </c>
      <c r="G279" s="18">
        <f>[1]!Tabela2[[#This Row],[VOL.]]*[1]!Tabela2[[#This Row],[UNID.]]</f>
        <v>0</v>
      </c>
    </row>
    <row r="280" spans="1:7" hidden="1" x14ac:dyDescent="0.25">
      <c r="A280" s="8">
        <v>589</v>
      </c>
      <c r="B280" s="11" t="s">
        <v>542</v>
      </c>
      <c r="C280" s="15"/>
      <c r="D280" s="8" t="s">
        <v>633</v>
      </c>
      <c r="E280" s="12">
        <v>0</v>
      </c>
      <c r="F280" s="12">
        <v>90</v>
      </c>
      <c r="G280" s="18">
        <f>[1]!Tabela2[[#This Row],[VOL.]]*[1]!Tabela2[[#This Row],[UNID.]]</f>
        <v>0</v>
      </c>
    </row>
    <row r="281" spans="1:7" x14ac:dyDescent="0.25">
      <c r="A281" s="8">
        <v>590</v>
      </c>
      <c r="B281" s="11" t="s">
        <v>584</v>
      </c>
      <c r="C281" s="15"/>
      <c r="D281" s="8" t="s">
        <v>633</v>
      </c>
      <c r="E281" s="12">
        <v>0</v>
      </c>
      <c r="F281" s="12">
        <v>90</v>
      </c>
      <c r="G281" s="18">
        <f>[1]!Tabela2[[#This Row],[VOL.]]*[1]!Tabela2[[#This Row],[UNID.]]</f>
        <v>0</v>
      </c>
    </row>
    <row r="282" spans="1:7" hidden="1" x14ac:dyDescent="0.25">
      <c r="A282" s="8">
        <v>591</v>
      </c>
      <c r="B282" s="11" t="s">
        <v>543</v>
      </c>
      <c r="C282" s="15"/>
      <c r="D282" s="8" t="s">
        <v>633</v>
      </c>
      <c r="E282" s="12">
        <v>0</v>
      </c>
      <c r="F282" s="12">
        <v>75</v>
      </c>
      <c r="G282" s="18">
        <f>[1]!Tabela2[[#This Row],[VOL.]]*[1]!Tabela2[[#This Row],[UNID.]]</f>
        <v>0</v>
      </c>
    </row>
    <row r="283" spans="1:7" hidden="1" x14ac:dyDescent="0.25">
      <c r="A283" s="8">
        <v>592</v>
      </c>
      <c r="B283" s="11" t="s">
        <v>544</v>
      </c>
      <c r="C283" s="15"/>
      <c r="D283" s="8" t="s">
        <v>633</v>
      </c>
      <c r="E283" s="12">
        <v>0</v>
      </c>
      <c r="F283" s="12">
        <v>70</v>
      </c>
      <c r="G283" s="18">
        <f>[1]!Tabela2[[#This Row],[VOL.]]*[1]!Tabela2[[#This Row],[UNID.]]</f>
        <v>0</v>
      </c>
    </row>
    <row r="284" spans="1:7" hidden="1" x14ac:dyDescent="0.25">
      <c r="A284" s="8">
        <v>593</v>
      </c>
      <c r="B284" s="11" t="s">
        <v>545</v>
      </c>
      <c r="C284" s="15"/>
      <c r="D284" s="8" t="s">
        <v>633</v>
      </c>
      <c r="E284" s="12">
        <v>0</v>
      </c>
      <c r="F284" s="12">
        <v>40</v>
      </c>
      <c r="G284" s="18">
        <f>[1]!Tabela2[[#This Row],[VOL.]]*[1]!Tabela2[[#This Row],[UNID.]]</f>
        <v>0</v>
      </c>
    </row>
    <row r="285" spans="1:7" x14ac:dyDescent="0.25">
      <c r="A285" s="8">
        <v>594</v>
      </c>
      <c r="B285" s="11" t="s">
        <v>530</v>
      </c>
      <c r="C285" s="15"/>
      <c r="D285" s="8" t="s">
        <v>633</v>
      </c>
      <c r="E285" s="12">
        <v>0</v>
      </c>
      <c r="F285" s="12">
        <v>110</v>
      </c>
      <c r="G285" s="18">
        <f>[1]!Tabela2[[#This Row],[VOL.]]*[1]!Tabela2[[#This Row],[UNID.]]</f>
        <v>0</v>
      </c>
    </row>
    <row r="286" spans="1:7" x14ac:dyDescent="0.25">
      <c r="A286" s="8">
        <v>595</v>
      </c>
      <c r="B286" s="11" t="s">
        <v>587</v>
      </c>
      <c r="C286" s="15"/>
      <c r="D286" s="8" t="s">
        <v>633</v>
      </c>
      <c r="E286" s="12">
        <v>0</v>
      </c>
      <c r="F286" s="12">
        <v>85</v>
      </c>
      <c r="G286" s="18">
        <f>[1]!Tabela2[[#This Row],[VOL.]]*[1]!Tabela2[[#This Row],[UNID.]]</f>
        <v>0</v>
      </c>
    </row>
    <row r="287" spans="1:7" x14ac:dyDescent="0.25">
      <c r="A287" s="8">
        <v>596</v>
      </c>
      <c r="B287" s="11" t="s">
        <v>531</v>
      </c>
      <c r="C287" s="15"/>
      <c r="D287" s="8" t="s">
        <v>633</v>
      </c>
      <c r="E287" s="12">
        <v>0</v>
      </c>
      <c r="F287" s="12">
        <v>80</v>
      </c>
      <c r="G287" s="18">
        <f>[1]!Tabela2[[#This Row],[VOL.]]*[1]!Tabela2[[#This Row],[UNID.]]</f>
        <v>0</v>
      </c>
    </row>
    <row r="288" spans="1:7" x14ac:dyDescent="0.25">
      <c r="A288" s="8">
        <v>597</v>
      </c>
      <c r="B288" s="11" t="s">
        <v>532</v>
      </c>
      <c r="C288" s="15"/>
      <c r="D288" s="8" t="s">
        <v>633</v>
      </c>
      <c r="E288" s="12">
        <v>0</v>
      </c>
      <c r="F288" s="12">
        <v>70</v>
      </c>
      <c r="G288" s="18">
        <f>[1]!Tabela2[[#This Row],[VOL.]]*[1]!Tabela2[[#This Row],[UNID.]]</f>
        <v>0</v>
      </c>
    </row>
    <row r="289" spans="1:7" x14ac:dyDescent="0.25">
      <c r="A289" s="8">
        <v>598</v>
      </c>
      <c r="B289" s="11" t="s">
        <v>533</v>
      </c>
      <c r="C289" s="15"/>
      <c r="D289" s="8" t="s">
        <v>633</v>
      </c>
      <c r="E289" s="12">
        <v>0</v>
      </c>
      <c r="F289" s="12">
        <v>45</v>
      </c>
      <c r="G289" s="18">
        <f>[1]!Tabela2[[#This Row],[VOL.]]*[1]!Tabela2[[#This Row],[UNID.]]</f>
        <v>0</v>
      </c>
    </row>
    <row r="290" spans="1:7" x14ac:dyDescent="0.25">
      <c r="A290" s="8">
        <v>599</v>
      </c>
      <c r="B290" s="11" t="s">
        <v>538</v>
      </c>
      <c r="C290" s="15"/>
      <c r="D290" s="8" t="s">
        <v>633</v>
      </c>
      <c r="E290" s="12">
        <v>0</v>
      </c>
      <c r="F290" s="12">
        <v>90</v>
      </c>
      <c r="G290" s="18">
        <f>[1]!Tabela2[[#This Row],[VOL.]]*[1]!Tabela2[[#This Row],[UNID.]]</f>
        <v>0</v>
      </c>
    </row>
    <row r="291" spans="1:7" x14ac:dyDescent="0.25">
      <c r="A291" s="8">
        <v>600</v>
      </c>
      <c r="B291" s="11" t="s">
        <v>585</v>
      </c>
      <c r="C291" s="15"/>
      <c r="D291" s="8" t="s">
        <v>633</v>
      </c>
      <c r="E291" s="12">
        <v>0</v>
      </c>
      <c r="F291" s="12">
        <v>80</v>
      </c>
      <c r="G291" s="18">
        <f>[1]!Tabela2[[#This Row],[VOL.]]*[1]!Tabela2[[#This Row],[UNID.]]</f>
        <v>0</v>
      </c>
    </row>
    <row r="292" spans="1:7" x14ac:dyDescent="0.25">
      <c r="A292" s="8">
        <v>601</v>
      </c>
      <c r="B292" s="11" t="s">
        <v>539</v>
      </c>
      <c r="C292" s="15"/>
      <c r="D292" s="8" t="s">
        <v>633</v>
      </c>
      <c r="E292" s="12">
        <v>0</v>
      </c>
      <c r="F292" s="12">
        <v>70</v>
      </c>
      <c r="G292" s="18">
        <f>[1]!Tabela2[[#This Row],[VOL.]]*[1]!Tabela2[[#This Row],[UNID.]]</f>
        <v>0</v>
      </c>
    </row>
    <row r="293" spans="1:7" x14ac:dyDescent="0.25">
      <c r="A293" s="8">
        <v>602</v>
      </c>
      <c r="B293" s="11" t="s">
        <v>540</v>
      </c>
      <c r="C293" s="15"/>
      <c r="D293" s="8" t="s">
        <v>633</v>
      </c>
      <c r="E293" s="12">
        <v>0</v>
      </c>
      <c r="F293" s="12">
        <v>60</v>
      </c>
      <c r="G293" s="18">
        <f>[1]!Tabela2[[#This Row],[VOL.]]*[1]!Tabela2[[#This Row],[UNID.]]</f>
        <v>0</v>
      </c>
    </row>
    <row r="294" spans="1:7" x14ac:dyDescent="0.25">
      <c r="A294" s="8">
        <v>603</v>
      </c>
      <c r="B294" s="11" t="s">
        <v>541</v>
      </c>
      <c r="C294" s="15"/>
      <c r="D294" s="8" t="s">
        <v>633</v>
      </c>
      <c r="E294" s="12">
        <v>0</v>
      </c>
      <c r="F294" s="12">
        <v>35</v>
      </c>
      <c r="G294" s="18">
        <f>[1]!Tabela2[[#This Row],[VOL.]]*[1]!Tabela2[[#This Row],[UNID.]]</f>
        <v>0</v>
      </c>
    </row>
    <row r="295" spans="1:7" x14ac:dyDescent="0.25">
      <c r="A295" s="8">
        <v>604</v>
      </c>
      <c r="B295" s="11" t="s">
        <v>563</v>
      </c>
      <c r="C295" s="15"/>
      <c r="D295" s="8" t="s">
        <v>633</v>
      </c>
      <c r="E295" s="12">
        <v>0</v>
      </c>
      <c r="F295" s="12">
        <v>110</v>
      </c>
      <c r="G295" s="18">
        <f>[1]!Tabela2[[#This Row],[VOL.]]*[1]!Tabela2[[#This Row],[UNID.]]</f>
        <v>0</v>
      </c>
    </row>
    <row r="296" spans="1:7" x14ac:dyDescent="0.25">
      <c r="A296" s="8">
        <v>605</v>
      </c>
      <c r="B296" s="11" t="s">
        <v>582</v>
      </c>
      <c r="C296" s="15"/>
      <c r="D296" s="8" t="s">
        <v>633</v>
      </c>
      <c r="E296" s="12">
        <v>0</v>
      </c>
      <c r="F296" s="12">
        <v>110</v>
      </c>
      <c r="G296" s="18">
        <f>[1]!Tabela2[[#This Row],[VOL.]]*[1]!Tabela2[[#This Row],[UNID.]]</f>
        <v>0</v>
      </c>
    </row>
    <row r="297" spans="1:7" hidden="1" x14ac:dyDescent="0.25">
      <c r="A297" s="8">
        <v>606</v>
      </c>
      <c r="B297" s="11" t="s">
        <v>567</v>
      </c>
      <c r="C297" s="15"/>
      <c r="D297" s="8" t="s">
        <v>633</v>
      </c>
      <c r="E297" s="12">
        <v>0</v>
      </c>
      <c r="F297" s="12">
        <v>100</v>
      </c>
      <c r="G297" s="18">
        <f>[1]!Tabela2[[#This Row],[VOL.]]*[1]!Tabela2[[#This Row],[UNID.]]</f>
        <v>0</v>
      </c>
    </row>
    <row r="298" spans="1:7" hidden="1" x14ac:dyDescent="0.25">
      <c r="A298" s="8">
        <v>607</v>
      </c>
      <c r="B298" s="11" t="s">
        <v>571</v>
      </c>
      <c r="C298" s="15"/>
      <c r="D298" s="8" t="s">
        <v>633</v>
      </c>
      <c r="E298" s="12">
        <v>0</v>
      </c>
      <c r="F298" s="12">
        <v>52</v>
      </c>
      <c r="G298" s="18">
        <f>[1]!Tabela2[[#This Row],[VOL.]]*[1]!Tabela2[[#This Row],[UNID.]]</f>
        <v>0</v>
      </c>
    </row>
    <row r="299" spans="1:7" x14ac:dyDescent="0.25">
      <c r="A299" s="8">
        <v>608</v>
      </c>
      <c r="B299" s="11" t="s">
        <v>575</v>
      </c>
      <c r="C299" s="15"/>
      <c r="D299" s="8" t="s">
        <v>633</v>
      </c>
      <c r="E299" s="12">
        <v>0</v>
      </c>
      <c r="F299" s="12">
        <v>50</v>
      </c>
      <c r="G299" s="18">
        <f>[1]!Tabela2[[#This Row],[VOL.]]*[1]!Tabela2[[#This Row],[UNID.]]</f>
        <v>0</v>
      </c>
    </row>
    <row r="300" spans="1:7" hidden="1" x14ac:dyDescent="0.25">
      <c r="A300" s="8">
        <v>609</v>
      </c>
      <c r="B300" s="11" t="s">
        <v>565</v>
      </c>
      <c r="C300" s="15"/>
      <c r="D300" s="8" t="s">
        <v>633</v>
      </c>
      <c r="E300" s="12">
        <v>0</v>
      </c>
      <c r="F300" s="12">
        <v>86</v>
      </c>
      <c r="G300" s="18">
        <f>[1]!Tabela2[[#This Row],[VOL.]]*[1]!Tabela2[[#This Row],[UNID.]]</f>
        <v>0</v>
      </c>
    </row>
    <row r="301" spans="1:7" x14ac:dyDescent="0.25">
      <c r="A301" s="8">
        <v>610</v>
      </c>
      <c r="B301" s="11" t="s">
        <v>580</v>
      </c>
      <c r="C301" s="15"/>
      <c r="D301" s="8" t="s">
        <v>633</v>
      </c>
      <c r="E301" s="12">
        <v>0</v>
      </c>
      <c r="F301" s="12">
        <v>90</v>
      </c>
      <c r="G301" s="18">
        <f>[1]!Tabela2[[#This Row],[VOL.]]*[1]!Tabela2[[#This Row],[UNID.]]</f>
        <v>0</v>
      </c>
    </row>
    <row r="302" spans="1:7" hidden="1" x14ac:dyDescent="0.25">
      <c r="A302" s="8">
        <v>611</v>
      </c>
      <c r="B302" s="11" t="s">
        <v>569</v>
      </c>
      <c r="C302" s="15"/>
      <c r="D302" s="8" t="s">
        <v>633</v>
      </c>
      <c r="E302" s="12">
        <v>0</v>
      </c>
      <c r="F302" s="12">
        <v>70</v>
      </c>
      <c r="G302" s="18">
        <f>[1]!Tabela2[[#This Row],[VOL.]]*[1]!Tabela2[[#This Row],[UNID.]]</f>
        <v>0</v>
      </c>
    </row>
    <row r="303" spans="1:7" x14ac:dyDescent="0.25">
      <c r="A303" s="8">
        <v>612</v>
      </c>
      <c r="B303" s="11" t="s">
        <v>573</v>
      </c>
      <c r="C303" s="15"/>
      <c r="D303" s="8" t="s">
        <v>633</v>
      </c>
      <c r="E303" s="12">
        <v>0</v>
      </c>
      <c r="F303" s="12">
        <v>60</v>
      </c>
      <c r="G303" s="18">
        <f>[1]!Tabela2[[#This Row],[VOL.]]*[1]!Tabela2[[#This Row],[UNID.]]</f>
        <v>0</v>
      </c>
    </row>
    <row r="304" spans="1:7" hidden="1" x14ac:dyDescent="0.25">
      <c r="A304" s="8">
        <v>613</v>
      </c>
      <c r="B304" s="11" t="s">
        <v>577</v>
      </c>
      <c r="C304" s="15"/>
      <c r="D304" s="8" t="s">
        <v>633</v>
      </c>
      <c r="E304" s="12">
        <v>0</v>
      </c>
      <c r="F304" s="12">
        <v>32</v>
      </c>
      <c r="G304" s="18">
        <f>[1]!Tabela2[[#This Row],[VOL.]]*[1]!Tabela2[[#This Row],[UNID.]]</f>
        <v>0</v>
      </c>
    </row>
    <row r="305" spans="1:7" x14ac:dyDescent="0.25">
      <c r="A305" s="8">
        <v>614</v>
      </c>
      <c r="B305" s="11" t="s">
        <v>564</v>
      </c>
      <c r="C305" s="15"/>
      <c r="D305" s="8" t="s">
        <v>633</v>
      </c>
      <c r="E305" s="12">
        <v>0</v>
      </c>
      <c r="F305" s="12">
        <v>110</v>
      </c>
      <c r="G305" s="18">
        <f>[1]!Tabela2[[#This Row],[VOL.]]*[1]!Tabela2[[#This Row],[UNID.]]</f>
        <v>0</v>
      </c>
    </row>
    <row r="306" spans="1:7" x14ac:dyDescent="0.25">
      <c r="A306" s="8">
        <v>615</v>
      </c>
      <c r="B306" s="11" t="s">
        <v>583</v>
      </c>
      <c r="C306" s="15"/>
      <c r="D306" s="8" t="s">
        <v>633</v>
      </c>
      <c r="E306" s="12">
        <v>0</v>
      </c>
      <c r="F306" s="12">
        <v>85</v>
      </c>
      <c r="G306" s="18">
        <f>[1]!Tabela2[[#This Row],[VOL.]]*[1]!Tabela2[[#This Row],[UNID.]]</f>
        <v>0</v>
      </c>
    </row>
    <row r="307" spans="1:7" x14ac:dyDescent="0.25">
      <c r="A307" s="8">
        <v>616</v>
      </c>
      <c r="B307" s="11" t="s">
        <v>568</v>
      </c>
      <c r="C307" s="15"/>
      <c r="D307" s="8" t="s">
        <v>633</v>
      </c>
      <c r="E307" s="12">
        <v>0</v>
      </c>
      <c r="F307" s="12">
        <v>80</v>
      </c>
      <c r="G307" s="18">
        <f>[1]!Tabela2[[#This Row],[VOL.]]*[1]!Tabela2[[#This Row],[UNID.]]</f>
        <v>0</v>
      </c>
    </row>
    <row r="308" spans="1:7" x14ac:dyDescent="0.25">
      <c r="A308" s="8">
        <v>617</v>
      </c>
      <c r="B308" s="11" t="s">
        <v>572</v>
      </c>
      <c r="C308" s="15"/>
      <c r="D308" s="8" t="s">
        <v>633</v>
      </c>
      <c r="E308" s="12">
        <v>0</v>
      </c>
      <c r="F308" s="12">
        <v>70</v>
      </c>
      <c r="G308" s="18">
        <f>[1]!Tabela2[[#This Row],[VOL.]]*[1]!Tabela2[[#This Row],[UNID.]]</f>
        <v>0</v>
      </c>
    </row>
    <row r="309" spans="1:7" x14ac:dyDescent="0.25">
      <c r="A309" s="8">
        <v>618</v>
      </c>
      <c r="B309" s="11" t="s">
        <v>576</v>
      </c>
      <c r="C309" s="15"/>
      <c r="D309" s="8" t="s">
        <v>633</v>
      </c>
      <c r="E309" s="12">
        <v>0</v>
      </c>
      <c r="F309" s="12">
        <v>45</v>
      </c>
      <c r="G309" s="18">
        <f>[1]!Tabela2[[#This Row],[VOL.]]*[1]!Tabela2[[#This Row],[UNID.]]</f>
        <v>0</v>
      </c>
    </row>
    <row r="310" spans="1:7" x14ac:dyDescent="0.25">
      <c r="A310" s="8">
        <v>619</v>
      </c>
      <c r="B310" s="11" t="s">
        <v>566</v>
      </c>
      <c r="C310" s="15"/>
      <c r="D310" s="8" t="s">
        <v>633</v>
      </c>
      <c r="E310" s="12">
        <v>0</v>
      </c>
      <c r="F310" s="12">
        <v>90</v>
      </c>
      <c r="G310" s="18">
        <f>[1]!Tabela2[[#This Row],[VOL.]]*[1]!Tabela2[[#This Row],[UNID.]]</f>
        <v>0</v>
      </c>
    </row>
    <row r="311" spans="1:7" x14ac:dyDescent="0.25">
      <c r="A311" s="8">
        <v>620</v>
      </c>
      <c r="B311" s="11" t="s">
        <v>581</v>
      </c>
      <c r="C311" s="15"/>
      <c r="D311" s="8" t="s">
        <v>633</v>
      </c>
      <c r="E311" s="12">
        <v>0</v>
      </c>
      <c r="F311" s="12">
        <v>80</v>
      </c>
      <c r="G311" s="18">
        <f>[1]!Tabela2[[#This Row],[VOL.]]*[1]!Tabela2[[#This Row],[UNID.]]</f>
        <v>0</v>
      </c>
    </row>
    <row r="312" spans="1:7" x14ac:dyDescent="0.25">
      <c r="A312" s="8">
        <v>621</v>
      </c>
      <c r="B312" s="11" t="s">
        <v>570</v>
      </c>
      <c r="C312" s="15"/>
      <c r="D312" s="8" t="s">
        <v>633</v>
      </c>
      <c r="E312" s="12">
        <v>0</v>
      </c>
      <c r="F312" s="12">
        <v>70</v>
      </c>
      <c r="G312" s="18">
        <f>[1]!Tabela2[[#This Row],[VOL.]]*[1]!Tabela2[[#This Row],[UNID.]]</f>
        <v>0</v>
      </c>
    </row>
    <row r="313" spans="1:7" x14ac:dyDescent="0.25">
      <c r="A313" s="8">
        <v>622</v>
      </c>
      <c r="B313" s="11" t="s">
        <v>574</v>
      </c>
      <c r="C313" s="15"/>
      <c r="D313" s="8" t="s">
        <v>633</v>
      </c>
      <c r="E313" s="12">
        <v>0</v>
      </c>
      <c r="F313" s="12">
        <v>60</v>
      </c>
      <c r="G313" s="18">
        <f>[1]!Tabela2[[#This Row],[VOL.]]*[1]!Tabela2[[#This Row],[UNID.]]</f>
        <v>0</v>
      </c>
    </row>
    <row r="314" spans="1:7" x14ac:dyDescent="0.25">
      <c r="A314" s="8">
        <v>623</v>
      </c>
      <c r="B314" s="11" t="s">
        <v>578</v>
      </c>
      <c r="C314" s="15"/>
      <c r="D314" s="8" t="s">
        <v>633</v>
      </c>
      <c r="E314" s="12">
        <v>0</v>
      </c>
      <c r="F314" s="12">
        <v>35</v>
      </c>
      <c r="G314" s="18">
        <f>[1]!Tabela2[[#This Row],[VOL.]]*[1]!Tabela2[[#This Row],[UNID.]]</f>
        <v>0</v>
      </c>
    </row>
    <row r="315" spans="1:7" hidden="1" x14ac:dyDescent="0.25">
      <c r="A315" s="8">
        <v>730</v>
      </c>
      <c r="B315" s="12" t="s">
        <v>588</v>
      </c>
      <c r="C315" s="15"/>
      <c r="D315" s="8" t="s">
        <v>646</v>
      </c>
      <c r="E315" s="12">
        <v>1</v>
      </c>
      <c r="F315" s="12">
        <v>900</v>
      </c>
      <c r="G315" s="18">
        <f>[1]!Tabela2[[#This Row],[VOL.]]*[1]!Tabela2[[#This Row],[UNID.]]</f>
        <v>900</v>
      </c>
    </row>
    <row r="316" spans="1:7" hidden="1" x14ac:dyDescent="0.25">
      <c r="A316" s="8">
        <v>731</v>
      </c>
      <c r="B316" s="12" t="s">
        <v>589</v>
      </c>
      <c r="C316" s="15"/>
      <c r="D316" s="8" t="s">
        <v>634</v>
      </c>
      <c r="E316" s="12">
        <v>0</v>
      </c>
      <c r="F316" s="12">
        <v>1000</v>
      </c>
      <c r="G316" s="18">
        <f>[1]!Tabela2[[#This Row],[VOL.]]*[1]!Tabela2[[#This Row],[UNID.]]</f>
        <v>0</v>
      </c>
    </row>
    <row r="317" spans="1:7" x14ac:dyDescent="0.25">
      <c r="A317" s="8">
        <v>1797</v>
      </c>
      <c r="B317" s="12" t="s">
        <v>590</v>
      </c>
      <c r="C317" s="15"/>
      <c r="D317" s="8"/>
      <c r="E317" s="12"/>
      <c r="F317" s="12">
        <v>12</v>
      </c>
      <c r="G317" s="18">
        <f>[1]!Tabela2[[#This Row],[VOL.]]*[1]!Tabela2[[#This Row],[UNID.]]</f>
        <v>0</v>
      </c>
    </row>
    <row r="318" spans="1:7" hidden="1" x14ac:dyDescent="0.25">
      <c r="A318" s="8">
        <v>1209</v>
      </c>
      <c r="B318" s="12" t="s">
        <v>591</v>
      </c>
      <c r="C318" s="15"/>
      <c r="D318" s="8" t="s">
        <v>608</v>
      </c>
      <c r="E318" s="12">
        <v>13</v>
      </c>
      <c r="F318" s="12">
        <v>12</v>
      </c>
      <c r="G318" s="18">
        <f>[1]!Tabela2[[#This Row],[VOL.]]*[1]!Tabela2[[#This Row],[UNID.]]</f>
        <v>0</v>
      </c>
    </row>
    <row r="319" spans="1:7" hidden="1" x14ac:dyDescent="0.25">
      <c r="A319" s="8">
        <v>1588</v>
      </c>
      <c r="B319" s="12" t="s">
        <v>592</v>
      </c>
      <c r="C319" s="15"/>
      <c r="D319" s="8" t="s">
        <v>628</v>
      </c>
      <c r="E319" s="12">
        <v>30</v>
      </c>
      <c r="F319" s="12">
        <v>150</v>
      </c>
      <c r="G319" s="18">
        <f>[1]!Tabela2[[#This Row],[VOL.]]*[1]!Tabela2[[#This Row],[UNID.]]</f>
        <v>0</v>
      </c>
    </row>
    <row r="320" spans="1:7" x14ac:dyDescent="0.25">
      <c r="A320" s="8">
        <v>1639</v>
      </c>
      <c r="B320" s="12" t="s">
        <v>593</v>
      </c>
      <c r="C320" s="15"/>
      <c r="D320" s="8"/>
      <c r="E320" s="12"/>
      <c r="F320" s="12"/>
      <c r="G320" s="18">
        <f>[1]!Tabela2[[#This Row],[VOL.]]*[1]!Tabela2[[#This Row],[UNID.]]</f>
        <v>0</v>
      </c>
    </row>
    <row r="321" spans="1:7" hidden="1" x14ac:dyDescent="0.25">
      <c r="A321" s="8">
        <v>1640</v>
      </c>
      <c r="B321" s="12" t="s">
        <v>594</v>
      </c>
      <c r="C321" s="15"/>
      <c r="D321" s="8" t="s">
        <v>615</v>
      </c>
      <c r="E321" s="12">
        <v>0</v>
      </c>
      <c r="F321" s="12">
        <v>150</v>
      </c>
      <c r="G321" s="18">
        <f>[1]!Tabela2[[#This Row],[VOL.]]*[1]!Tabela2[[#This Row],[UNID.]]</f>
        <v>0</v>
      </c>
    </row>
    <row r="322" spans="1:7" hidden="1" x14ac:dyDescent="0.25">
      <c r="A322" s="8">
        <v>1701</v>
      </c>
      <c r="B322" s="11" t="s">
        <v>462</v>
      </c>
      <c r="C322" s="15" t="s">
        <v>357</v>
      </c>
      <c r="D322" s="8" t="s">
        <v>615</v>
      </c>
      <c r="E322" s="12">
        <v>0</v>
      </c>
      <c r="F322" s="12">
        <v>32</v>
      </c>
      <c r="G322" s="18">
        <f>[1]!Tabela2[[#This Row],[VOL.]]*[1]!Tabela2[[#This Row],[UNID.]]</f>
        <v>0</v>
      </c>
    </row>
    <row r="323" spans="1:7" x14ac:dyDescent="0.25">
      <c r="A323" s="8">
        <v>1774</v>
      </c>
      <c r="B323" s="11" t="s">
        <v>460</v>
      </c>
      <c r="C323" s="15" t="s">
        <v>609</v>
      </c>
      <c r="D323" s="8" t="s">
        <v>615</v>
      </c>
      <c r="E323" s="12">
        <v>0</v>
      </c>
      <c r="F323" s="12">
        <v>40</v>
      </c>
      <c r="G323" s="18">
        <f>[1]!Tabela2[[#This Row],[VOL.]]*[1]!Tabela2[[#This Row],[UNID.]]</f>
        <v>0</v>
      </c>
    </row>
    <row r="324" spans="1:7" hidden="1" x14ac:dyDescent="0.25">
      <c r="A324" s="8">
        <v>1754</v>
      </c>
      <c r="B324" s="11" t="s">
        <v>460</v>
      </c>
      <c r="C324" s="15" t="s">
        <v>355</v>
      </c>
      <c r="D324" s="8" t="s">
        <v>615</v>
      </c>
      <c r="E324" s="12">
        <v>14</v>
      </c>
      <c r="F324" s="12">
        <v>40</v>
      </c>
      <c r="G324" s="18">
        <f>[1]!Tabela2[[#This Row],[VOL.]]*[1]!Tabela2[[#This Row],[UNID.]]</f>
        <v>560</v>
      </c>
    </row>
    <row r="325" spans="1:7" x14ac:dyDescent="0.25">
      <c r="A325" s="8">
        <v>1828</v>
      </c>
      <c r="B325" s="11" t="s">
        <v>595</v>
      </c>
      <c r="C325" s="15" t="s">
        <v>352</v>
      </c>
      <c r="D325" s="8" t="s">
        <v>608</v>
      </c>
      <c r="E325" s="12"/>
      <c r="F325" s="12">
        <v>1000</v>
      </c>
      <c r="G325" s="18">
        <f>[1]!Tabela2[[#This Row],[VOL.]]*[1]!Tabela2[[#This Row],[UNID.]]</f>
        <v>0</v>
      </c>
    </row>
    <row r="326" spans="1:7" x14ac:dyDescent="0.25">
      <c r="A326" s="8">
        <v>1699</v>
      </c>
      <c r="B326" s="11" t="s">
        <v>595</v>
      </c>
      <c r="C326" s="15" t="s">
        <v>606</v>
      </c>
      <c r="D326" s="8" t="s">
        <v>608</v>
      </c>
      <c r="E326" s="12"/>
      <c r="F326" s="12">
        <v>1000</v>
      </c>
      <c r="G326" s="18">
        <f>[1]!Tabela2[[#This Row],[VOL.]]*[1]!Tabela2[[#This Row],[UNID.]]</f>
        <v>0</v>
      </c>
    </row>
    <row r="327" spans="1:7" x14ac:dyDescent="0.25">
      <c r="A327" s="8">
        <v>1796</v>
      </c>
      <c r="B327" s="11" t="s">
        <v>595</v>
      </c>
      <c r="C327" s="15" t="s">
        <v>612</v>
      </c>
      <c r="D327" s="8" t="s">
        <v>608</v>
      </c>
      <c r="E327" s="12"/>
      <c r="F327" s="12">
        <v>1000</v>
      </c>
      <c r="G327" s="18">
        <f>[1]!Tabela2[[#This Row],[VOL.]]*[1]!Tabela2[[#This Row],[UNID.]]</f>
        <v>0</v>
      </c>
    </row>
    <row r="328" spans="1:7" hidden="1" x14ac:dyDescent="0.25">
      <c r="A328" s="8">
        <v>1773</v>
      </c>
      <c r="B328" s="11" t="s">
        <v>595</v>
      </c>
      <c r="C328" s="15" t="s">
        <v>355</v>
      </c>
      <c r="D328" s="8" t="s">
        <v>608</v>
      </c>
      <c r="E328" s="12">
        <v>0</v>
      </c>
      <c r="F328" s="12">
        <v>40</v>
      </c>
      <c r="G328" s="18">
        <f>[1]!Tabela2[[#This Row],[VOL.]]*[1]!Tabela2[[#This Row],[UNID.]]</f>
        <v>0</v>
      </c>
    </row>
    <row r="329" spans="1:7" x14ac:dyDescent="0.25">
      <c r="A329" s="8">
        <v>1818</v>
      </c>
      <c r="B329" s="11" t="s">
        <v>453</v>
      </c>
      <c r="C329" s="15" t="s">
        <v>350</v>
      </c>
      <c r="D329" s="8" t="s">
        <v>608</v>
      </c>
      <c r="E329" s="12">
        <v>0</v>
      </c>
      <c r="F329" s="12">
        <v>50</v>
      </c>
      <c r="G329" s="18">
        <f>[1]!Tabela2[[#This Row],[VOL.]]*[1]!Tabela2[[#This Row],[UNID.]]</f>
        <v>0</v>
      </c>
    </row>
    <row r="330" spans="1:7" hidden="1" x14ac:dyDescent="0.25">
      <c r="A330" s="8">
        <v>222</v>
      </c>
      <c r="B330" s="11" t="s">
        <v>596</v>
      </c>
      <c r="C330" s="15"/>
      <c r="D330" s="8"/>
      <c r="E330" s="12">
        <v>13</v>
      </c>
      <c r="F330" s="12">
        <v>12</v>
      </c>
      <c r="G330" s="18">
        <f>[1]!Tabela2[[#This Row],[VOL.]]*[1]!Tabela2[[#This Row],[UNID.]]</f>
        <v>156</v>
      </c>
    </row>
    <row r="331" spans="1:7" hidden="1" x14ac:dyDescent="0.25">
      <c r="A331" s="8">
        <v>223</v>
      </c>
      <c r="B331" s="11" t="s">
        <v>597</v>
      </c>
      <c r="C331" s="15"/>
      <c r="D331" s="8"/>
      <c r="E331" s="12">
        <v>5</v>
      </c>
      <c r="F331" s="12">
        <v>12</v>
      </c>
      <c r="G331" s="18">
        <f>[1]!Tabela2[[#This Row],[VOL.]]*[1]!Tabela2[[#This Row],[UNID.]]</f>
        <v>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81A8D0-9535-42EE-8CBB-2B0ABC5DD3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CONCILIADA</vt:lpstr>
      <vt:lpstr>Tabela de preços</vt:lpstr>
      <vt:lpstr>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2025-10-29T13:27:29Z</dcterms:created>
  <dcterms:modified xsi:type="dcterms:W3CDTF">2026-09-22T16:57:15Z</dcterms:modified>
</cp:coreProperties>
</file>