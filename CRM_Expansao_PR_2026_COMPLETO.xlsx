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stão de Leads" sheetId="1" state="visible" r:id="rId1"/>
    <sheet xmlns:r="http://schemas.openxmlformats.org/officeDocument/2006/relationships" name="Funil de Vendas" sheetId="2" state="visible" r:id="rId2"/>
    <sheet xmlns:r="http://schemas.openxmlformats.org/officeDocument/2006/relationships" name="Dashboard 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de Vendas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 KPIs'!$A$2:$A$8</f>
            </numRef>
          </cat>
          <val>
            <numRef>
              <f>'Dashboard KPIs'!$B$2:$B$8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Entrada</t>
        </is>
      </c>
      <c r="B1" t="inlineStr">
        <is>
          <t>Empresa</t>
        </is>
      </c>
      <c r="C1" t="inlineStr">
        <is>
          <t>CNPJ</t>
        </is>
      </c>
      <c r="D1" t="inlineStr">
        <is>
          <t>Segmento</t>
        </is>
      </c>
      <c r="E1" t="inlineStr">
        <is>
          <t>Cidade</t>
        </is>
      </c>
      <c r="F1" t="inlineStr">
        <is>
          <t>Região</t>
        </is>
      </c>
      <c r="G1" t="inlineStr">
        <is>
          <t>Contato</t>
        </is>
      </c>
      <c r="H1" t="inlineStr">
        <is>
          <t>Cargo</t>
        </is>
      </c>
      <c r="I1" t="inlineStr">
        <is>
          <t>Telefone</t>
        </is>
      </c>
      <c r="J1" t="inlineStr">
        <is>
          <t>E-mail</t>
        </is>
      </c>
      <c r="K1" t="inlineStr">
        <is>
          <t>Origem do Lead</t>
        </is>
      </c>
      <c r="L1" t="inlineStr">
        <is>
          <t>Status do Lead</t>
        </is>
      </c>
      <c r="M1" t="inlineStr">
        <is>
          <t>Dor Principal</t>
        </is>
      </c>
      <c r="N1" t="inlineStr">
        <is>
          <t>Observações</t>
        </is>
      </c>
      <c r="O1" t="inlineStr">
        <is>
          <t>Último Contato</t>
        </is>
      </c>
      <c r="P1" t="inlineStr">
        <is>
          <t>Próximo Follow-up</t>
        </is>
      </c>
      <c r="Q1" t="inlineStr">
        <is>
          <t>Responsável</t>
        </is>
      </c>
    </row>
  </sheetData>
  <conditionalFormatting sqref="A2:Q1000">
    <cfRule type="expression" priority="1" dxfId="0">
      <formula>AND($O2&lt;&gt;"",NOW()-$O2&gt;3)</formula>
    </cfRule>
  </conditionalFormatting>
  <dataValidations count="1">
    <dataValidation sqref="L2:L1000" showDropDown="0" showInputMessage="0" showErrorMessage="0" allowBlank="1" type="list">
      <formula1>"Novo,Contato Realizado,Interesse Identificado,Sem Interesse,Inativo"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Oportunidade</t>
        </is>
      </c>
      <c r="B1" t="inlineStr">
        <is>
          <t>Empresa</t>
        </is>
      </c>
      <c r="C1" t="inlineStr">
        <is>
          <t>Cidade</t>
        </is>
      </c>
      <c r="D1" t="inlineStr">
        <is>
          <t>Responsável</t>
        </is>
      </c>
      <c r="E1" t="inlineStr">
        <is>
          <t>Fase do Funil</t>
        </is>
      </c>
      <c r="F1" t="inlineStr">
        <is>
          <t>Data Entrada Fase</t>
        </is>
      </c>
      <c r="G1" t="inlineStr">
        <is>
          <t>Valor Estimado (R$)</t>
        </is>
      </c>
      <c r="H1" t="inlineStr">
        <is>
          <t>Probabilidade (%)</t>
        </is>
      </c>
      <c r="I1" t="inlineStr">
        <is>
          <t>Dor Principal</t>
        </is>
      </c>
      <c r="J1" t="inlineStr">
        <is>
          <t>Proposta Enviada</t>
        </is>
      </c>
      <c r="K1" t="inlineStr">
        <is>
          <t>Data Proposta</t>
        </is>
      </c>
      <c r="L1" t="inlineStr">
        <is>
          <t>Última Interação</t>
        </is>
      </c>
      <c r="M1" t="inlineStr">
        <is>
          <t>Próxima Ação</t>
        </is>
      </c>
      <c r="N1" t="inlineStr">
        <is>
          <t>Data Próxima Ação</t>
        </is>
      </c>
      <c r="O1" t="inlineStr">
        <is>
          <t>Status</t>
        </is>
      </c>
    </row>
  </sheetData>
  <conditionalFormatting sqref="A2:O1000">
    <cfRule type="expression" priority="1" dxfId="0">
      <formula>AND($L2&lt;&gt;"",NOW()-$L2&gt;3)</formula>
    </cfRule>
  </conditionalFormatting>
  <dataValidations count="1">
    <dataValidation sqref="E2:E1000" showDropDown="0" showInputMessage="0" showErrorMessage="0" allowBlank="1" type="list">
      <formula1>"Lead Qualificado,Diagnóstico Realizado,Solução Apresentada,Proposta Enviada,Negociação,Ganhou,Perdeu"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 de Leads</t>
        </is>
      </c>
      <c r="B2">
        <f>COUNTA('Gestão de Leads'!B2:B1000)</f>
        <v/>
      </c>
    </row>
    <row r="3">
      <c r="A3" t="inlineStr">
        <is>
          <t>Leads Ativos</t>
        </is>
      </c>
      <c r="B3">
        <f>COUNTIF('Gestão de Leads'!L2:L1000,"&lt;&gt;Inativo")</f>
        <v/>
      </c>
    </row>
    <row r="4">
      <c r="A4" t="inlineStr">
        <is>
          <t>Leads Inativos</t>
        </is>
      </c>
      <c r="B4">
        <f>COUNTIF('Gestão de Leads'!L2:L1000,"Inativo")</f>
        <v/>
      </c>
    </row>
    <row r="5">
      <c r="A5" t="inlineStr">
        <is>
          <t>Oportunidades em Aberto</t>
        </is>
      </c>
      <c r="B5">
        <f>COUNTIF('Funil de Vendas'!E2:E1000,"&lt;&gt;Ganhou")</f>
        <v/>
      </c>
    </row>
    <row r="6">
      <c r="A6" t="inlineStr">
        <is>
          <t>Ticket Médio (R$)</t>
        </is>
      </c>
      <c r="B6">
        <f>AVERAGE('Funil de Vendas'!G2:G1000)</f>
        <v/>
      </c>
    </row>
    <row r="7">
      <c r="A7" t="inlineStr">
        <is>
          <t>Valor Total Pipeline (R$)</t>
        </is>
      </c>
      <c r="B7">
        <f>SUM('Funil de Vendas'!G2:G1000)</f>
        <v/>
      </c>
    </row>
    <row r="8">
      <c r="A8" t="inlineStr">
        <is>
          <t>Vendas Fechadas (R$)</t>
        </is>
      </c>
      <c r="B8">
        <f>SUMIF('Funil de Vendas'!E2:E1000,"Ganhou",'Funil de Vendas'!G2:G1000)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2025-12-30T14:10:34Z</dcterms:created>
  <dcterms:modified xmlns:dcterms="http://purl.org/dc/terms/" xmlns:xsi="http://www.w3.org/2001/XMLSchema-instance" xsi:type="dcterms:W3CDTF">2025-12-30T14:10:34Z</dcterms:modified>
</cp:coreProperties>
</file>