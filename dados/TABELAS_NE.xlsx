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ábio\Desktop\CRM_APP\dados\"/>
    </mc:Choice>
  </mc:AlternateContent>
  <xr:revisionPtr revIDLastSave="0" documentId="13_ncr:1_{D0FD04B2-AB4F-4B52-B8D8-9AEBB1FB9EA3}" xr6:coauthVersionLast="47" xr6:coauthVersionMax="47" xr10:uidLastSave="{00000000-0000-0000-0000-000000000000}"/>
  <bookViews>
    <workbookView xWindow="-120" yWindow="-120" windowWidth="20730" windowHeight="11160" activeTab="2" xr2:uid="{F9AC85B4-4295-4675-8D5B-618F5EEE6B49}"/>
  </bookViews>
  <sheets>
    <sheet name="TAB 3%" sheetId="1" r:id="rId1"/>
    <sheet name="TAB 4%" sheetId="2" r:id="rId2"/>
    <sheet name="TAB 5%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8" i="3" l="1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<sst xmlns="http://schemas.openxmlformats.org/spreadsheetml/2006/main" count="1322" uniqueCount="101">
  <si>
    <t>CÓD.</t>
  </si>
  <si>
    <t>PRODUTO</t>
  </si>
  <si>
    <t>APRESENTAÇÃO</t>
  </si>
  <si>
    <t>UND CAIXA</t>
  </si>
  <si>
    <t>MARCA</t>
  </si>
  <si>
    <t>PREÇO</t>
  </si>
  <si>
    <t>COMPRESSA DE GAZE NÃO ESTERIL</t>
  </si>
  <si>
    <t>PACOTE 105gr</t>
  </si>
  <si>
    <t>9 fios</t>
  </si>
  <si>
    <t>COMBATE</t>
  </si>
  <si>
    <t>Med Mais</t>
  </si>
  <si>
    <t>105gr</t>
  </si>
  <si>
    <t>PACOTE 130gr</t>
  </si>
  <si>
    <t>11 fios</t>
  </si>
  <si>
    <t>130gr</t>
  </si>
  <si>
    <t>PACOTE 150gr</t>
  </si>
  <si>
    <t>13 fios</t>
  </si>
  <si>
    <t>150gr</t>
  </si>
  <si>
    <t>INTERMEDIARIA</t>
  </si>
  <si>
    <t>PACOTE 160gr</t>
  </si>
  <si>
    <t>160gr</t>
  </si>
  <si>
    <t>PACOTE 180gr</t>
  </si>
  <si>
    <t>180gr</t>
  </si>
  <si>
    <t>7,5 X 7,5 PCT</t>
  </si>
  <si>
    <t>EXTRA</t>
  </si>
  <si>
    <t>Ultra Têxtil</t>
  </si>
  <si>
    <t>500 und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</si>
  <si>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</si>
  <si>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</si>
  <si>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</si>
  <si>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</si>
  <si>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</si>
  <si>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</si>
  <si>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</si>
  <si>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</si>
  <si>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370gr</t>
  </si>
  <si>
    <t>380gr</t>
  </si>
  <si>
    <t>410gr</t>
  </si>
  <si>
    <t>COMPRESSA ESTÉRIL – 9FIOS</t>
  </si>
  <si>
    <t>PCT 10 UND</t>
  </si>
  <si>
    <t>COMPRESSA ESTÉRIL – 11FIOS</t>
  </si>
  <si>
    <t>COMPRESSA ESTÉRIL – 13FIOS</t>
  </si>
  <si>
    <t>CAMPO OPERATÓRIO - LEVE</t>
  </si>
  <si>
    <t>45X50 PCT C/50</t>
  </si>
  <si>
    <t>Com Radiopaco</t>
  </si>
  <si>
    <t>15gr</t>
  </si>
  <si>
    <t>CAMPO OPERATÓRIO – Pré encolhido</t>
  </si>
  <si>
    <r>
      <t xml:space="preserve">25X28 PCT </t>
    </r>
    <r>
      <rPr>
        <b/>
        <sz val="9"/>
        <color rgb="FF000000"/>
        <rFont val="Calibri"/>
        <family val="2"/>
        <scheme val="minor"/>
      </rPr>
      <t>C/5 UND</t>
    </r>
  </si>
  <si>
    <t>Estéril</t>
  </si>
  <si>
    <r>
      <t xml:space="preserve">25X28 PCT </t>
    </r>
    <r>
      <rPr>
        <b/>
        <sz val="9"/>
        <color rgb="FF000000"/>
        <rFont val="Calibri"/>
        <family val="2"/>
        <scheme val="minor"/>
      </rPr>
      <t>C/2 UND</t>
    </r>
  </si>
  <si>
    <t>ATADURA DE CREPE</t>
  </si>
  <si>
    <t>10CM x 1,20M</t>
  </si>
  <si>
    <t>13 FIOS</t>
  </si>
  <si>
    <t>12 INDIVIDUAL</t>
  </si>
  <si>
    <t>12CM x 1,20M</t>
  </si>
  <si>
    <t>15CM x 1,20M</t>
  </si>
  <si>
    <t>90 DUZIAS</t>
  </si>
  <si>
    <t>20CM x 1,20M</t>
  </si>
  <si>
    <t>80 DUZIAS</t>
  </si>
  <si>
    <t>30CM x 1,20M</t>
  </si>
  <si>
    <t>50 DUZIAS</t>
  </si>
  <si>
    <t>10CM x 1,80M</t>
  </si>
  <si>
    <t>100 DUZIAS</t>
  </si>
  <si>
    <t>12CM x 1,80M</t>
  </si>
  <si>
    <t>15CM x 1,80M</t>
  </si>
  <si>
    <t>75 DUZIAS</t>
  </si>
  <si>
    <t>20CM x 1,80M</t>
  </si>
  <si>
    <t>70 DUZIAS</t>
  </si>
  <si>
    <t>30CM x 1,80M</t>
  </si>
  <si>
    <t>40 DUZIAS</t>
  </si>
  <si>
    <t>110 DUZIAS</t>
  </si>
  <si>
    <t>85 DUZIAS</t>
  </si>
  <si>
    <t>45 DUZIAS</t>
  </si>
  <si>
    <t>60 DUZIAS</t>
  </si>
  <si>
    <t>35 DUZIAS</t>
  </si>
  <si>
    <t>12 CONJUGADA</t>
  </si>
  <si>
    <t>52 DUZIAS</t>
  </si>
  <si>
    <t>42 DUZIAS</t>
  </si>
  <si>
    <t>86 DUZIAS</t>
  </si>
  <si>
    <t>44 DUZIAS</t>
  </si>
  <si>
    <t>28 DUZIAS</t>
  </si>
  <si>
    <t>66 DUZIAS</t>
  </si>
  <si>
    <t>48 DUZIAS</t>
  </si>
  <si>
    <t xml:space="preserve"> 32 DUZIAS</t>
  </si>
  <si>
    <t>76 DUZIAS</t>
  </si>
  <si>
    <t>38 DUZIAS</t>
  </si>
  <si>
    <t>26 DUZIAS</t>
  </si>
  <si>
    <t>COMPRESSA ESTÉRIL – 9FIOS   7,50 X 7,50</t>
  </si>
  <si>
    <t>COMPRESSA ESTÉRIL – 11FIOS  7,50 X 7,50</t>
  </si>
  <si>
    <t>COMPRESSA ESTÉRIL – 13FIOS  7,50 X 7,50</t>
  </si>
  <si>
    <t>MedTextil</t>
  </si>
  <si>
    <t>LINHA</t>
  </si>
  <si>
    <t>25X28 PCT C/5 UND</t>
  </si>
  <si>
    <t>25X28 PCT C/2 UND</t>
  </si>
  <si>
    <t>104 DUZIAS</t>
  </si>
  <si>
    <t>GRAMAT</t>
  </si>
  <si>
    <t>APRESENTACAO</t>
  </si>
  <si>
    <t>FIOS</t>
  </si>
  <si>
    <t>UND_CAIXA</t>
  </si>
  <si>
    <t>PRECO</t>
  </si>
  <si>
    <t>ID_COD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</si>
</sst>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F243E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548DD4"/>
      <name val="Calibri"/>
      <family val="2"/>
      <scheme val="minor"/>
    </font>
    <font>
      <b/>
      <sz val="9"/>
      <color rgb="FF17365D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</borders>
  <cellStyleXfs count="3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5">
    <xf numFmtId="0" fontId="0" fillId="0" borderId="0" xfId="0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8" fontId="3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8" fontId="3" fillId="0" borderId="1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8" fontId="1" fillId="0" borderId="7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5" fillId="0" borderId="9" xfId="0" applyFont="1" applyBorder="1" applyAlignment="1">
      <alignment horizontal="center" vertical="center" wrapText="1"/>
    </xf>
    <xf numFmtId="8" fontId="1" fillId="0" borderId="9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8" fontId="1" fillId="0" borderId="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8" fontId="3" fillId="0" borderId="3" xfId="0" applyNumberFormat="1" applyFont="1" applyBorder="1" applyAlignment="1">
      <alignment horizontal="right" vertical="center"/>
    </xf>
    <xf numFmtId="8" fontId="3" fillId="0" borderId="1" xfId="0" applyNumberFormat="1" applyFont="1" applyBorder="1" applyAlignment="1">
      <alignment horizontal="right" vertical="center"/>
    </xf>
    <xf numFmtId="8" fontId="1" fillId="0" borderId="7" xfId="0" applyNumberFormat="1" applyFont="1" applyBorder="1" applyAlignment="1">
      <alignment horizontal="right" vertical="center" wrapText="1"/>
    </xf>
    <xf numFmtId="8" fontId="1" fillId="0" borderId="9" xfId="0" applyNumberFormat="1" applyFont="1" applyBorder="1" applyAlignment="1">
      <alignment horizontal="right" vertical="center" wrapText="1"/>
    </xf>
    <xf numFmtId="8" fontId="1" fillId="0" borderId="3" xfId="0" applyNumberFormat="1" applyFont="1" applyBorder="1" applyAlignment="1">
      <alignment horizontal="right" vertical="center" wrapText="1"/>
    </xf>
    <xf numFmtId="9" fontId="0" fillId="2" borderId="0" xfId="0" applyNumberFormat="1" applyFill="1" applyAlignment="1">
      <alignment horizontal="center"/>
    </xf>
    <xf numFmtId="44" fontId="3" fillId="0" borderId="3" xfId="1" applyFont="1" applyBorder="1" applyAlignment="1">
      <alignment horizontal="center" vertical="center"/>
    </xf>
    <xf numFmtId="44" fontId="3" fillId="0" borderId="1" xfId="1" applyFont="1" applyBorder="1" applyAlignment="1">
      <alignment horizontal="center" vertical="center"/>
    </xf>
    <xf numFmtId="44" fontId="3" fillId="0" borderId="1" xfId="1" applyFont="1" applyBorder="1" applyAlignment="1">
      <alignment horizontal="right" vertical="center"/>
    </xf>
    <xf numFmtId="44" fontId="3" fillId="0" borderId="3" xfId="1" applyFont="1" applyBorder="1" applyAlignment="1">
      <alignment horizontal="right" vertical="center"/>
    </xf>
    <xf numFmtId="44" fontId="0" fillId="0" borderId="0" xfId="1" applyFont="1"/>
    <xf numFmtId="44" fontId="1" fillId="0" borderId="7" xfId="1" applyFont="1" applyBorder="1" applyAlignment="1">
      <alignment horizontal="center" vertical="center" wrapText="1"/>
    </xf>
    <xf numFmtId="44" fontId="1" fillId="0" borderId="9" xfId="1" applyFont="1" applyBorder="1" applyAlignment="1">
      <alignment horizontal="center" vertical="center" wrapText="1"/>
    </xf>
    <xf numFmtId="44" fontId="1" fillId="0" borderId="3" xfId="1" applyFont="1" applyBorder="1" applyAlignment="1">
      <alignment horizontal="center" vertical="center" wrapText="1"/>
    </xf>
    <xf numFmtId="44" fontId="0" fillId="0" borderId="0" xfId="1" applyFont="1" applyAlignment="1">
      <alignment horizontal="right"/>
    </xf>
    <xf numFmtId="44" fontId="1" fillId="0" borderId="7" xfId="1" applyFont="1" applyBorder="1" applyAlignment="1">
      <alignment horizontal="right" vertical="center" wrapText="1"/>
    </xf>
    <xf numFmtId="44" fontId="1" fillId="0" borderId="9" xfId="1" applyFont="1" applyBorder="1" applyAlignment="1">
      <alignment horizontal="right" vertical="center" wrapText="1"/>
    </xf>
    <xf numFmtId="44" fontId="1" fillId="0" borderId="3" xfId="1" applyFont="1" applyBorder="1" applyAlignment="1">
      <alignment horizontal="right" vertical="center" wrapText="1"/>
    </xf>
    <xf numFmtId="44" fontId="0" fillId="0" borderId="0" xfId="1" applyFont="1" applyAlignment="1">
      <alignment horizontal="center"/>
    </xf>
    <xf numFmtId="0" fontId="2" fillId="0" borderId="5" xfId="0" applyFont="1" applyBorder="1" applyAlignment="1">
      <alignment vertical="center"/>
    </xf>
    <xf numFmtId="9" fontId="2" fillId="2" borderId="4" xfId="2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44" fontId="2" fillId="0" borderId="4" xfId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/>
    <xf numFmtId="0" fontId="2" fillId="0" borderId="5" xfId="0" applyFont="1" applyBorder="1" applyAlignment="1">
      <alignment vertical="center" wrapText="1"/>
    </xf>
    <xf numFmtId="0" fontId="7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B7B4-2C01-4CFC-A3A7-3BF1EF6635D0}">
  <sheetPr>
    <pageSetUpPr fitToPage="1"/>
  </sheetPr>
  <dimension ref="A1:J68"/>
  <sheetViews>
    <sheetView showGridLines="0" zoomScaleNormal="100" workbookViewId="0">
      <selection activeCell="E73" sqref="E73"/>
    </sheetView>
  </sheetViews>
  <sheetFormatPr defaultColWidth="63" defaultRowHeight="15" x14ac:dyDescent="0.25"/>
  <cols>
    <col min="1" max="1" width="8.5703125" bestFit="1" customWidth="1"/>
    <col min="2" max="2" width="32.140625" bestFit="1" customWidth="1"/>
    <col min="3" max="3" width="15.140625" bestFit="1" customWidth="1"/>
    <col min="4" max="4" width="6.5703125" bestFit="1" customWidth="1"/>
    <col min="5" max="5" width="12.28515625" bestFit="1" customWidth="1"/>
    <col min="6" max="6" width="17.7109375" style="25" bestFit="1" customWidth="1"/>
    <col min="7" max="7" width="9" bestFit="1" customWidth="1"/>
    <col min="8" max="8" width="9" style="25" bestFit="1" customWidth="1"/>
    <col min="9" max="9" width="9.7109375" style="40" customWidth="1"/>
    <col min="10" max="10" width="7.140625" hidden="1" customWidth="1"/>
  </cols>
  <sheetData>
    <row r="1" spans="1:10" s="25" customFormat="1" x14ac:dyDescent="0.25">
      <c r="A1" s="48" t="s">
        <v>0</v>
      </c>
      <c r="B1" s="48" t="s">
        <v>1</v>
      </c>
      <c r="C1" s="48" t="s">
        <v>2</v>
      </c>
      <c r="D1" s="51"/>
      <c r="E1" s="48" t="s">
        <v>3</v>
      </c>
      <c r="F1" s="48" t="s">
        <v>91</v>
      </c>
      <c r="G1" s="48" t="s">
        <v>4</v>
      </c>
      <c r="H1" s="45"/>
      <c r="I1" s="48" t="s">
        <v>5</v>
      </c>
      <c r="J1" s="31">
        <v>0</v>
      </c>
    </row>
    <row r="2" spans="1:10" ht="15.75" thickBot="1" x14ac:dyDescent="0.3">
      <c r="A2" s="1">
        <v>8</v>
      </c>
      <c r="B2" s="2" t="s">
        <v>6</v>
      </c>
      <c r="C2" s="2" t="s">
        <v>7</v>
      </c>
      <c r="D2" s="2" t="s">
        <v>8</v>
      </c>
      <c r="E2" s="2">
        <v>72</v>
      </c>
      <c r="F2" s="2" t="s">
        <v>9</v>
      </c>
      <c r="G2" s="3" t="s">
        <v>10</v>
      </c>
      <c r="H2" s="4" t="s">
        <v>11</v>
      </c>
      <c r="I2" s="35">
        <f>(J2*$J$1)+J2</f>
        <v>6.99</v>
      </c>
      <c r="J2" s="26">
        <v>6.99</v>
      </c>
    </row>
    <row r="3" spans="1:10" ht="15.75" thickBot="1" x14ac:dyDescent="0.3">
      <c r="A3" s="1">
        <v>310</v>
      </c>
      <c r="B3" s="2" t="s">
        <v>6</v>
      </c>
      <c r="C3" s="2" t="s">
        <v>12</v>
      </c>
      <c r="D3" s="2" t="s">
        <v>13</v>
      </c>
      <c r="E3" s="2">
        <v>60</v>
      </c>
      <c r="F3" s="2" t="s">
        <v>9</v>
      </c>
      <c r="G3" s="3" t="s">
        <v>10</v>
      </c>
      <c r="H3" s="4" t="s">
        <v>14</v>
      </c>
      <c r="I3" s="35">
        <f>(J3*$J$1)+J3</f>
        <v>10.27</v>
      </c>
      <c r="J3" s="26">
        <v>10.27</v>
      </c>
    </row>
    <row r="4" spans="1:10" ht="15.75" thickBot="1" x14ac:dyDescent="0.3">
      <c r="A4" s="1">
        <v>326</v>
      </c>
      <c r="B4" s="2" t="s">
        <v>6</v>
      </c>
      <c r="C4" s="2" t="s">
        <v>15</v>
      </c>
      <c r="D4" s="2" t="s">
        <v>16</v>
      </c>
      <c r="E4" s="2">
        <v>50</v>
      </c>
      <c r="F4" s="2" t="s">
        <v>9</v>
      </c>
      <c r="G4" s="3" t="s">
        <v>10</v>
      </c>
      <c r="H4" s="4" t="s">
        <v>17</v>
      </c>
      <c r="I4" s="35">
        <f>(J4*$J$1)+J4</f>
        <v>11.85</v>
      </c>
      <c r="J4" s="26">
        <v>11.85</v>
      </c>
    </row>
    <row r="5" spans="1:10" ht="15.75" thickBot="1" x14ac:dyDescent="0.3">
      <c r="A5" s="1">
        <v>13</v>
      </c>
      <c r="B5" s="2" t="s">
        <v>6</v>
      </c>
      <c r="C5" s="2" t="s">
        <v>15</v>
      </c>
      <c r="D5" s="2" t="s">
        <v>8</v>
      </c>
      <c r="E5" s="2">
        <v>50</v>
      </c>
      <c r="F5" s="2" t="s">
        <v>18</v>
      </c>
      <c r="G5" s="3" t="s">
        <v>10</v>
      </c>
      <c r="H5" s="4" t="s">
        <v>17</v>
      </c>
      <c r="I5" s="35">
        <f>(J5*$J$1)+J5</f>
        <v>11.44</v>
      </c>
      <c r="J5" s="26">
        <v>11.44</v>
      </c>
    </row>
    <row r="6" spans="1:10" ht="15.75" thickBot="1" x14ac:dyDescent="0.3">
      <c r="A6" s="1">
        <v>313</v>
      </c>
      <c r="B6" s="2" t="s">
        <v>6</v>
      </c>
      <c r="C6" s="2" t="s">
        <v>19</v>
      </c>
      <c r="D6" s="2" t="s">
        <v>13</v>
      </c>
      <c r="E6" s="2">
        <v>50</v>
      </c>
      <c r="F6" s="2" t="s">
        <v>18</v>
      </c>
      <c r="G6" s="3" t="s">
        <v>10</v>
      </c>
      <c r="H6" s="4" t="s">
        <v>20</v>
      </c>
      <c r="I6" s="35">
        <f>(J6*$J$1)+J6</f>
        <v>12.64</v>
      </c>
      <c r="J6" s="26">
        <v>12.64</v>
      </c>
    </row>
    <row r="7" spans="1:10" ht="15.75" thickBot="1" x14ac:dyDescent="0.3">
      <c r="A7" s="1">
        <v>329</v>
      </c>
      <c r="B7" s="2" t="s">
        <v>6</v>
      </c>
      <c r="C7" s="2" t="s">
        <v>21</v>
      </c>
      <c r="D7" s="2" t="s">
        <v>16</v>
      </c>
      <c r="E7" s="2">
        <v>50</v>
      </c>
      <c r="F7" s="2" t="s">
        <v>18</v>
      </c>
      <c r="G7" s="3" t="s">
        <v>10</v>
      </c>
      <c r="H7" s="4" t="s">
        <v>22</v>
      </c>
      <c r="I7" s="35">
        <f>(J7*$J$1)+J7</f>
        <v>14.22</v>
      </c>
      <c r="J7" s="26">
        <v>14.22</v>
      </c>
    </row>
    <row r="8" spans="1:10" ht="15.75" thickBot="1" x14ac:dyDescent="0.3">
      <c r="A8" s="1">
        <v>51</v>
      </c>
      <c r="B8" s="2" t="s">
        <v>6</v>
      </c>
      <c r="C8" s="2" t="s">
        <v>23</v>
      </c>
      <c r="D8" s="2" t="s">
        <v>8</v>
      </c>
      <c r="E8" s="2">
        <v>40</v>
      </c>
      <c r="F8" s="2" t="s">
        <v>24</v>
      </c>
      <c r="G8" s="6" t="s">
        <v>25</v>
      </c>
      <c r="H8" s="4" t="s">
        <v>26</v>
      </c>
      <c r="I8" s="35">
        <f>(J8*$J$1)+J8</f>
        <v>17.84</v>
      </c>
      <c r="J8" s="26">
        <v>17.84</v>
      </c>
    </row>
    <row r="9" spans="1:10" ht="15.75" thickBot="1" x14ac:dyDescent="0.3">
      <c r="A9" s="1">
        <v>339</v>
      </c>
      <c r="B9" s="2" t="s">
        <v>6</v>
      </c>
      <c r="C9" s="2" t="s">
        <v>23</v>
      </c>
      <c r="D9" s="2" t="s">
        <v>13</v>
      </c>
      <c r="E9" s="2">
        <v>32</v>
      </c>
      <c r="F9" s="2" t="s">
        <v>24</v>
      </c>
      <c r="G9" s="6" t="s">
        <v>25</v>
      </c>
      <c r="H9" s="4" t="s">
        <v>26</v>
      </c>
      <c r="I9" s="35">
        <f>(J9*$J$1)+J9</f>
        <v>19.22</v>
      </c>
      <c r="J9" s="26">
        <v>19.22</v>
      </c>
    </row>
    <row r="10" spans="1:10" ht="15.75" thickBot="1" x14ac:dyDescent="0.3">
      <c r="A10" s="1">
        <v>349</v>
      </c>
      <c r="B10" s="2" t="s">
        <v>6</v>
      </c>
      <c r="C10" s="2" t="s">
        <v>23</v>
      </c>
      <c r="D10" s="2" t="s">
        <v>16</v>
      </c>
      <c r="E10" s="2">
        <v>32</v>
      </c>
      <c r="F10" s="2" t="s">
        <v>24</v>
      </c>
      <c r="G10" s="6" t="s">
        <v>25</v>
      </c>
      <c r="H10" s="4" t="s">
        <v>26</v>
      </c>
      <c r="I10" s="35">
        <f>(J10*$J$1)+J10</f>
        <v>21.44</v>
      </c>
      <c r="J10" s="26">
        <v>21.44</v>
      </c>
    </row>
    <row r="11" spans="1:10" ht="15.75" thickBot="1" x14ac:dyDescent="0.3">
      <c r="A11" s="1">
        <v>85</v>
      </c>
      <c r="B11" s="2" t="s">
        <v>27</v>
      </c>
      <c r="C11" s="2" t="s">
        <v>28</v>
      </c>
      <c r="D11" s="2" t="s">
        <v>8</v>
      </c>
      <c r="E11" s="2">
        <v>36</v>
      </c>
      <c r="F11" s="2" t="s">
        <v>9</v>
      </c>
      <c r="G11" s="3" t="s">
        <v>10</v>
      </c>
      <c r="H11" s="4" t="s">
        <v>29</v>
      </c>
      <c r="I11" s="35">
        <f>(J11*$J$1)+J11</f>
        <v>15.98</v>
      </c>
      <c r="J11" s="26">
        <v>15.98</v>
      </c>
    </row>
    <row r="12" spans="1:10" ht="15.75" thickBot="1" x14ac:dyDescent="0.3">
      <c r="A12" s="1">
        <v>263</v>
      </c>
      <c r="B12" s="2" t="s">
        <v>27</v>
      </c>
      <c r="C12" s="2" t="s">
        <v>28</v>
      </c>
      <c r="D12" s="2" t="s">
        <v>13</v>
      </c>
      <c r="E12" s="2">
        <v>30</v>
      </c>
      <c r="F12" s="2" t="s">
        <v>9</v>
      </c>
      <c r="G12" s="3" t="s">
        <v>10</v>
      </c>
      <c r="H12" s="4" t="s">
        <v>30</v>
      </c>
      <c r="I12" s="35">
        <f>(J12*$J$1)+J12</f>
        <v>19.690000000000001</v>
      </c>
      <c r="J12" s="26">
        <v>19.690000000000001</v>
      </c>
    </row>
    <row r="13" spans="1:10" ht="15.75" thickBot="1" x14ac:dyDescent="0.3">
      <c r="A13" s="1">
        <v>279</v>
      </c>
      <c r="B13" s="2" t="s">
        <v>27</v>
      </c>
      <c r="C13" s="2" t="s">
        <v>28</v>
      </c>
      <c r="D13" s="2" t="s">
        <v>16</v>
      </c>
      <c r="E13" s="2">
        <v>30</v>
      </c>
      <c r="F13" s="2" t="s">
        <v>9</v>
      </c>
      <c r="G13" s="3" t="s">
        <v>10</v>
      </c>
      <c r="H13" s="4" t="s">
        <v>31</v>
      </c>
      <c r="I13" s="35">
        <f>(J13*$J$1)+J13</f>
        <v>21.33</v>
      </c>
      <c r="J13" s="26">
        <v>21.33</v>
      </c>
    </row>
    <row r="14" spans="1:10" ht="15.75" thickBot="1" x14ac:dyDescent="0.3">
      <c r="A14" s="1">
        <v>94</v>
      </c>
      <c r="B14" s="2" t="s">
        <v>27</v>
      </c>
      <c r="C14" s="2" t="s">
        <v>28</v>
      </c>
      <c r="D14" s="2" t="s">
        <v>8</v>
      </c>
      <c r="E14" s="2">
        <v>30</v>
      </c>
      <c r="F14" s="2" t="s">
        <v>18</v>
      </c>
      <c r="G14" s="3" t="s">
        <v>10</v>
      </c>
      <c r="H14" s="4" t="s">
        <v>32</v>
      </c>
      <c r="I14" s="35">
        <f>(J14*$J$1)+J14</f>
        <v>22.8</v>
      </c>
      <c r="J14" s="26">
        <v>22.8</v>
      </c>
    </row>
    <row r="15" spans="1:10" ht="15.75" thickBot="1" x14ac:dyDescent="0.3">
      <c r="A15" s="1">
        <v>271</v>
      </c>
      <c r="B15" s="2" t="s">
        <v>27</v>
      </c>
      <c r="C15" s="2" t="s">
        <v>28</v>
      </c>
      <c r="D15" s="2" t="s">
        <v>13</v>
      </c>
      <c r="E15" s="2">
        <v>25</v>
      </c>
      <c r="F15" s="2" t="s">
        <v>18</v>
      </c>
      <c r="G15" s="3" t="s">
        <v>10</v>
      </c>
      <c r="H15" s="4" t="s">
        <v>33</v>
      </c>
      <c r="I15" s="35">
        <f>(J15*$J$1)+J15</f>
        <v>24.86</v>
      </c>
      <c r="J15" s="26">
        <v>24.86</v>
      </c>
    </row>
    <row r="16" spans="1:10" ht="15.75" thickBot="1" x14ac:dyDescent="0.3">
      <c r="A16" s="1">
        <v>286</v>
      </c>
      <c r="B16" s="2" t="s">
        <v>27</v>
      </c>
      <c r="C16" s="2" t="s">
        <v>28</v>
      </c>
      <c r="D16" s="2" t="s">
        <v>16</v>
      </c>
      <c r="E16" s="2">
        <v>25</v>
      </c>
      <c r="F16" s="2" t="s">
        <v>18</v>
      </c>
      <c r="G16" s="3" t="s">
        <v>10</v>
      </c>
      <c r="H16" s="4" t="s">
        <v>34</v>
      </c>
      <c r="I16" s="35">
        <f>(J16*$J$1)+J16</f>
        <v>26.86</v>
      </c>
      <c r="J16" s="26">
        <v>26.86</v>
      </c>
    </row>
    <row r="17" spans="1:10" ht="15.75" thickBot="1" x14ac:dyDescent="0.3">
      <c r="A17" s="1">
        <v>132</v>
      </c>
      <c r="B17" s="2" t="s">
        <v>27</v>
      </c>
      <c r="C17" s="2" t="s">
        <v>28</v>
      </c>
      <c r="D17" s="2" t="s">
        <v>8</v>
      </c>
      <c r="E17" s="2">
        <v>20</v>
      </c>
      <c r="F17" s="2" t="s">
        <v>24</v>
      </c>
      <c r="G17" s="6" t="s">
        <v>25</v>
      </c>
      <c r="H17" s="4" t="s">
        <v>35</v>
      </c>
      <c r="I17" s="35">
        <f>(J17*$J$1)+J17</f>
        <v>28.44</v>
      </c>
      <c r="J17" s="26">
        <v>28.44</v>
      </c>
    </row>
    <row r="18" spans="1:10" ht="15.75" thickBot="1" x14ac:dyDescent="0.3">
      <c r="A18" s="1">
        <v>294</v>
      </c>
      <c r="B18" s="2" t="s">
        <v>27</v>
      </c>
      <c r="C18" s="2" t="s">
        <v>28</v>
      </c>
      <c r="D18" s="2" t="s">
        <v>13</v>
      </c>
      <c r="E18" s="2">
        <v>20</v>
      </c>
      <c r="F18" s="2" t="s">
        <v>24</v>
      </c>
      <c r="G18" s="6" t="s">
        <v>25</v>
      </c>
      <c r="H18" s="4" t="s">
        <v>36</v>
      </c>
      <c r="I18" s="35">
        <f>(J18*$J$1)+J18</f>
        <v>29.88</v>
      </c>
      <c r="J18" s="26">
        <v>29.88</v>
      </c>
    </row>
    <row r="19" spans="1:10" ht="15.75" thickBot="1" x14ac:dyDescent="0.3">
      <c r="A19" s="1">
        <v>300</v>
      </c>
      <c r="B19" s="2" t="s">
        <v>27</v>
      </c>
      <c r="C19" s="2" t="s">
        <v>28</v>
      </c>
      <c r="D19" s="2" t="s">
        <v>16</v>
      </c>
      <c r="E19" s="2">
        <v>20</v>
      </c>
      <c r="F19" s="2" t="s">
        <v>24</v>
      </c>
      <c r="G19" s="6" t="s">
        <v>25</v>
      </c>
      <c r="H19" s="4" t="s">
        <v>37</v>
      </c>
      <c r="I19" s="35">
        <f>(J19*$J$1)+J19</f>
        <v>31.68</v>
      </c>
      <c r="J19" s="26">
        <v>31.68</v>
      </c>
    </row>
    <row r="20" spans="1:10" ht="15.75" thickBot="1" x14ac:dyDescent="0.3">
      <c r="A20" s="1">
        <v>1</v>
      </c>
      <c r="B20" s="2" t="s">
        <v>38</v>
      </c>
      <c r="C20" s="2" t="s">
        <v>39</v>
      </c>
      <c r="D20" s="7" t="s">
        <v>8</v>
      </c>
      <c r="E20" s="7">
        <v>1000</v>
      </c>
      <c r="F20" s="7" t="s">
        <v>9</v>
      </c>
      <c r="G20" s="8" t="s">
        <v>10</v>
      </c>
      <c r="H20" s="9"/>
      <c r="I20" s="34">
        <f>(J20*$J$1)+J20</f>
        <v>0.4</v>
      </c>
      <c r="J20" s="27">
        <v>0.4</v>
      </c>
    </row>
    <row r="21" spans="1:10" ht="15.75" thickBot="1" x14ac:dyDescent="0.3">
      <c r="A21" s="1">
        <v>2</v>
      </c>
      <c r="B21" s="2" t="s">
        <v>40</v>
      </c>
      <c r="C21" s="2" t="s">
        <v>39</v>
      </c>
      <c r="D21" s="2" t="s">
        <v>13</v>
      </c>
      <c r="E21" s="2">
        <v>1000</v>
      </c>
      <c r="F21" s="2" t="s">
        <v>9</v>
      </c>
      <c r="G21" s="3" t="s">
        <v>10</v>
      </c>
      <c r="H21" s="4"/>
      <c r="I21" s="35">
        <f>(J21*$J$1)+J21</f>
        <v>0.42</v>
      </c>
      <c r="J21" s="26">
        <v>0.42</v>
      </c>
    </row>
    <row r="22" spans="1:10" ht="15.75" thickBot="1" x14ac:dyDescent="0.3">
      <c r="A22" s="1">
        <v>3</v>
      </c>
      <c r="B22" s="2" t="s">
        <v>41</v>
      </c>
      <c r="C22" s="2" t="s">
        <v>39</v>
      </c>
      <c r="D22" s="2" t="s">
        <v>16</v>
      </c>
      <c r="E22" s="2">
        <v>1000</v>
      </c>
      <c r="F22" s="2" t="s">
        <v>9</v>
      </c>
      <c r="G22" s="3" t="s">
        <v>10</v>
      </c>
      <c r="H22" s="4"/>
      <c r="I22" s="35">
        <f>(J22*$J$1)+J22</f>
        <v>0.44</v>
      </c>
      <c r="J22" s="26">
        <v>0.44</v>
      </c>
    </row>
    <row r="23" spans="1:10" ht="15.75" thickBot="1" x14ac:dyDescent="0.3">
      <c r="A23" s="1">
        <v>1425</v>
      </c>
      <c r="B23" s="2" t="s">
        <v>87</v>
      </c>
      <c r="C23" s="2" t="s">
        <v>39</v>
      </c>
      <c r="D23" s="7" t="s">
        <v>8</v>
      </c>
      <c r="E23" s="7">
        <v>1000</v>
      </c>
      <c r="F23" s="7" t="s">
        <v>24</v>
      </c>
      <c r="G23" s="8" t="s">
        <v>90</v>
      </c>
      <c r="H23" s="9"/>
      <c r="I23" s="34">
        <f>(J23*$J$1)+J23</f>
        <v>0.57999999999999996</v>
      </c>
      <c r="J23" s="27">
        <v>0.57999999999999996</v>
      </c>
    </row>
    <row r="24" spans="1:10" ht="15.75" thickBot="1" x14ac:dyDescent="0.3">
      <c r="A24" s="1">
        <v>1426</v>
      </c>
      <c r="B24" s="2" t="s">
        <v>88</v>
      </c>
      <c r="C24" s="2" t="s">
        <v>39</v>
      </c>
      <c r="D24" s="2" t="s">
        <v>13</v>
      </c>
      <c r="E24" s="2">
        <v>1000</v>
      </c>
      <c r="F24" s="2" t="s">
        <v>24</v>
      </c>
      <c r="G24" s="8" t="s">
        <v>90</v>
      </c>
      <c r="H24" s="4"/>
      <c r="I24" s="35">
        <f>(J24*$J$1)+J24</f>
        <v>0.61</v>
      </c>
      <c r="J24" s="26">
        <v>0.61</v>
      </c>
    </row>
    <row r="25" spans="1:10" ht="15.75" thickBot="1" x14ac:dyDescent="0.3">
      <c r="A25" s="1">
        <v>1427</v>
      </c>
      <c r="B25" s="2" t="s">
        <v>89</v>
      </c>
      <c r="C25" s="2" t="s">
        <v>39</v>
      </c>
      <c r="D25" s="2" t="s">
        <v>16</v>
      </c>
      <c r="E25" s="2">
        <v>1000</v>
      </c>
      <c r="F25" s="2" t="s">
        <v>24</v>
      </c>
      <c r="G25" s="8" t="s">
        <v>90</v>
      </c>
      <c r="H25" s="4"/>
      <c r="I25" s="35">
        <f>(J25*$J$1)+J25</f>
        <v>0.64</v>
      </c>
      <c r="J25" s="26">
        <v>0.64</v>
      </c>
    </row>
    <row r="26" spans="1:10" ht="15.75" thickBot="1" x14ac:dyDescent="0.3">
      <c r="A26" s="1">
        <v>155</v>
      </c>
      <c r="B26" s="2" t="s">
        <v>42</v>
      </c>
      <c r="C26" s="2" t="s">
        <v>43</v>
      </c>
      <c r="D26" s="7"/>
      <c r="E26" s="2">
        <v>12</v>
      </c>
      <c r="F26" s="2" t="s">
        <v>44</v>
      </c>
      <c r="G26" s="6" t="s">
        <v>25</v>
      </c>
      <c r="H26" s="4" t="s">
        <v>45</v>
      </c>
      <c r="I26" s="35">
        <f>(J26*$J$1)+J26</f>
        <v>49.5</v>
      </c>
      <c r="J26" s="26">
        <v>49.5</v>
      </c>
    </row>
    <row r="27" spans="1:10" ht="15.75" thickBot="1" x14ac:dyDescent="0.3">
      <c r="A27" s="1">
        <v>158</v>
      </c>
      <c r="B27" s="2" t="s">
        <v>46</v>
      </c>
      <c r="C27" s="2" t="s">
        <v>47</v>
      </c>
      <c r="D27" s="2"/>
      <c r="E27" s="2">
        <v>150</v>
      </c>
      <c r="F27" s="2" t="s">
        <v>44</v>
      </c>
      <c r="G27" s="6" t="s">
        <v>25</v>
      </c>
      <c r="H27" s="4" t="s">
        <v>48</v>
      </c>
      <c r="I27" s="35">
        <f>(J27*$J$1)+J27</f>
        <v>5.57</v>
      </c>
      <c r="J27" s="26">
        <v>5.57</v>
      </c>
    </row>
    <row r="28" spans="1:10" ht="15.75" thickBot="1" x14ac:dyDescent="0.3">
      <c r="A28" s="1">
        <v>157</v>
      </c>
      <c r="B28" s="2" t="s">
        <v>46</v>
      </c>
      <c r="C28" s="2" t="s">
        <v>49</v>
      </c>
      <c r="D28" s="2"/>
      <c r="E28" s="2">
        <v>300</v>
      </c>
      <c r="F28" s="2" t="s">
        <v>44</v>
      </c>
      <c r="G28" s="6" t="s">
        <v>25</v>
      </c>
      <c r="H28" s="4" t="s">
        <v>48</v>
      </c>
      <c r="I28" s="35">
        <f>(J28*$J$1)+J28</f>
        <v>2.8</v>
      </c>
      <c r="J28" s="26">
        <v>2.8</v>
      </c>
    </row>
    <row r="29" spans="1:10" ht="15.75" thickBot="1" x14ac:dyDescent="0.3">
      <c r="A29" s="11">
        <v>163</v>
      </c>
      <c r="B29" s="12" t="s">
        <v>50</v>
      </c>
      <c r="C29" s="12" t="s">
        <v>51</v>
      </c>
      <c r="D29" s="12" t="s">
        <v>52</v>
      </c>
      <c r="E29" s="12" t="s">
        <v>53</v>
      </c>
      <c r="F29" s="12" t="s">
        <v>70</v>
      </c>
      <c r="G29" s="12" t="s">
        <v>9</v>
      </c>
      <c r="H29" s="13" t="s">
        <v>25</v>
      </c>
      <c r="I29" s="41">
        <f>(J29*$J$1)+J29</f>
        <v>3.97</v>
      </c>
      <c r="J29" s="28">
        <v>3.97</v>
      </c>
    </row>
    <row r="30" spans="1:10" x14ac:dyDescent="0.25">
      <c r="A30" s="11">
        <v>480</v>
      </c>
      <c r="B30" s="12" t="s">
        <v>50</v>
      </c>
      <c r="C30" s="12" t="s">
        <v>54</v>
      </c>
      <c r="D30" s="12" t="s">
        <v>52</v>
      </c>
      <c r="E30" s="15" t="s">
        <v>53</v>
      </c>
      <c r="F30" s="12" t="s">
        <v>70</v>
      </c>
      <c r="G30" s="12" t="s">
        <v>9</v>
      </c>
      <c r="H30" s="13" t="s">
        <v>25</v>
      </c>
      <c r="I30" s="41">
        <f>(J30*$J$1)+J30</f>
        <v>4.91</v>
      </c>
      <c r="J30" s="28">
        <v>4.91</v>
      </c>
    </row>
    <row r="31" spans="1:10" x14ac:dyDescent="0.25">
      <c r="A31" s="11">
        <v>164</v>
      </c>
      <c r="B31" s="12" t="s">
        <v>50</v>
      </c>
      <c r="C31" s="12" t="s">
        <v>55</v>
      </c>
      <c r="D31" s="12" t="s">
        <v>52</v>
      </c>
      <c r="E31" s="15" t="s">
        <v>53</v>
      </c>
      <c r="F31" s="12" t="s">
        <v>56</v>
      </c>
      <c r="G31" s="12" t="s">
        <v>9</v>
      </c>
      <c r="H31" s="13" t="s">
        <v>25</v>
      </c>
      <c r="I31" s="41">
        <f>(J31*$J$1)+J31</f>
        <v>5.63</v>
      </c>
      <c r="J31" s="28">
        <v>5.63</v>
      </c>
    </row>
    <row r="32" spans="1:10" x14ac:dyDescent="0.25">
      <c r="A32" s="11">
        <v>165</v>
      </c>
      <c r="B32" s="12" t="s">
        <v>50</v>
      </c>
      <c r="C32" s="12" t="s">
        <v>57</v>
      </c>
      <c r="D32" s="12" t="s">
        <v>52</v>
      </c>
      <c r="E32" s="15" t="s">
        <v>53</v>
      </c>
      <c r="F32" s="12" t="s">
        <v>67</v>
      </c>
      <c r="G32" s="12" t="s">
        <v>9</v>
      </c>
      <c r="H32" s="13" t="s">
        <v>25</v>
      </c>
      <c r="I32" s="41">
        <f>(J32*$J$1)+J32</f>
        <v>7.25</v>
      </c>
      <c r="J32" s="28">
        <v>7.25</v>
      </c>
    </row>
    <row r="33" spans="1:10" x14ac:dyDescent="0.25">
      <c r="A33" s="11">
        <v>166</v>
      </c>
      <c r="B33" s="12" t="s">
        <v>50</v>
      </c>
      <c r="C33" s="12" t="s">
        <v>59</v>
      </c>
      <c r="D33" s="12" t="s">
        <v>52</v>
      </c>
      <c r="E33" s="15" t="s">
        <v>53</v>
      </c>
      <c r="F33" s="12" t="s">
        <v>60</v>
      </c>
      <c r="G33" s="12" t="s">
        <v>9</v>
      </c>
      <c r="H33" s="13" t="s">
        <v>25</v>
      </c>
      <c r="I33" s="41">
        <f>(J33*$J$1)+J33</f>
        <v>10.74</v>
      </c>
      <c r="J33" s="28">
        <v>10.74</v>
      </c>
    </row>
    <row r="34" spans="1:10" x14ac:dyDescent="0.25">
      <c r="A34" s="11">
        <v>171</v>
      </c>
      <c r="B34" s="12" t="s">
        <v>50</v>
      </c>
      <c r="C34" s="12" t="s">
        <v>61</v>
      </c>
      <c r="D34" s="12" t="s">
        <v>52</v>
      </c>
      <c r="E34" s="15" t="s">
        <v>53</v>
      </c>
      <c r="F34" s="12" t="s">
        <v>62</v>
      </c>
      <c r="G34" s="12" t="s">
        <v>9</v>
      </c>
      <c r="H34" s="13" t="s">
        <v>25</v>
      </c>
      <c r="I34" s="41">
        <f>(J34*$J$1)+J34</f>
        <v>5.38</v>
      </c>
      <c r="J34" s="28">
        <v>5.38</v>
      </c>
    </row>
    <row r="35" spans="1:10" x14ac:dyDescent="0.25">
      <c r="A35" s="11">
        <v>478</v>
      </c>
      <c r="B35" s="12" t="s">
        <v>50</v>
      </c>
      <c r="C35" s="12" t="s">
        <v>63</v>
      </c>
      <c r="D35" s="12" t="s">
        <v>52</v>
      </c>
      <c r="E35" s="15" t="s">
        <v>53</v>
      </c>
      <c r="F35" s="12" t="s">
        <v>56</v>
      </c>
      <c r="G35" s="12" t="s">
        <v>9</v>
      </c>
      <c r="H35" s="13" t="s">
        <v>25</v>
      </c>
      <c r="I35" s="41">
        <f>(J35*$J$1)+J35</f>
        <v>6.78</v>
      </c>
      <c r="J35" s="28">
        <v>6.78</v>
      </c>
    </row>
    <row r="36" spans="1:10" x14ac:dyDescent="0.25">
      <c r="A36" s="11">
        <v>172</v>
      </c>
      <c r="B36" s="12" t="s">
        <v>50</v>
      </c>
      <c r="C36" s="12" t="s">
        <v>64</v>
      </c>
      <c r="D36" s="12" t="s">
        <v>52</v>
      </c>
      <c r="E36" s="15" t="s">
        <v>53</v>
      </c>
      <c r="F36" s="12" t="s">
        <v>65</v>
      </c>
      <c r="G36" s="12" t="s">
        <v>9</v>
      </c>
      <c r="H36" s="13" t="s">
        <v>25</v>
      </c>
      <c r="I36" s="41">
        <f>(J36*$J$1)+J36</f>
        <v>7.94</v>
      </c>
      <c r="J36" s="28">
        <v>7.94</v>
      </c>
    </row>
    <row r="37" spans="1:10" x14ac:dyDescent="0.25">
      <c r="A37" s="16">
        <v>173</v>
      </c>
      <c r="B37" s="17" t="s">
        <v>50</v>
      </c>
      <c r="C37" s="17" t="s">
        <v>66</v>
      </c>
      <c r="D37" s="17" t="s">
        <v>52</v>
      </c>
      <c r="E37" s="18" t="s">
        <v>53</v>
      </c>
      <c r="F37" s="17" t="s">
        <v>73</v>
      </c>
      <c r="G37" s="17" t="s">
        <v>9</v>
      </c>
      <c r="H37" s="19" t="s">
        <v>25</v>
      </c>
      <c r="I37" s="42">
        <f>(J37*$J$1)+J37</f>
        <v>10.3</v>
      </c>
      <c r="J37" s="29">
        <v>10.3</v>
      </c>
    </row>
    <row r="38" spans="1:10" x14ac:dyDescent="0.25">
      <c r="A38" s="21">
        <v>174</v>
      </c>
      <c r="B38" s="22" t="s">
        <v>50</v>
      </c>
      <c r="C38" s="22" t="s">
        <v>68</v>
      </c>
      <c r="D38" s="22" t="s">
        <v>52</v>
      </c>
      <c r="E38" s="23" t="s">
        <v>53</v>
      </c>
      <c r="F38" s="22" t="s">
        <v>69</v>
      </c>
      <c r="G38" s="22" t="s">
        <v>9</v>
      </c>
      <c r="H38" s="6" t="s">
        <v>25</v>
      </c>
      <c r="I38" s="43">
        <f>(J38*$J$1)+J38</f>
        <v>14.74</v>
      </c>
      <c r="J38" s="30">
        <v>14.74</v>
      </c>
    </row>
    <row r="39" spans="1:10" x14ac:dyDescent="0.25">
      <c r="A39" s="11">
        <v>159</v>
      </c>
      <c r="B39" s="12" t="s">
        <v>50</v>
      </c>
      <c r="C39" s="12" t="s">
        <v>51</v>
      </c>
      <c r="D39" s="12" t="s">
        <v>52</v>
      </c>
      <c r="E39" s="15" t="s">
        <v>53</v>
      </c>
      <c r="F39" s="12" t="s">
        <v>70</v>
      </c>
      <c r="G39" s="12" t="s">
        <v>24</v>
      </c>
      <c r="H39" s="13" t="s">
        <v>25</v>
      </c>
      <c r="I39" s="41">
        <f>(J39*$J$1)+J39</f>
        <v>4.6399999999999997</v>
      </c>
      <c r="J39" s="28">
        <v>4.6399999999999997</v>
      </c>
    </row>
    <row r="40" spans="1:10" x14ac:dyDescent="0.25">
      <c r="A40" s="11">
        <v>481</v>
      </c>
      <c r="B40" s="12" t="s">
        <v>50</v>
      </c>
      <c r="C40" s="12" t="s">
        <v>54</v>
      </c>
      <c r="D40" s="12" t="s">
        <v>52</v>
      </c>
      <c r="E40" s="15" t="s">
        <v>53</v>
      </c>
      <c r="F40" s="12" t="s">
        <v>71</v>
      </c>
      <c r="G40" s="12" t="s">
        <v>24</v>
      </c>
      <c r="H40" s="13" t="s">
        <v>25</v>
      </c>
      <c r="I40" s="41">
        <f>(J40*$J$1)+J40</f>
        <v>5.74</v>
      </c>
      <c r="J40" s="28">
        <v>5.74</v>
      </c>
    </row>
    <row r="41" spans="1:10" x14ac:dyDescent="0.25">
      <c r="A41" s="11">
        <v>160</v>
      </c>
      <c r="B41" s="12" t="s">
        <v>50</v>
      </c>
      <c r="C41" s="12" t="s">
        <v>55</v>
      </c>
      <c r="D41" s="12" t="s">
        <v>52</v>
      </c>
      <c r="E41" s="15" t="s">
        <v>53</v>
      </c>
      <c r="F41" s="12" t="s">
        <v>58</v>
      </c>
      <c r="G41" s="12" t="s">
        <v>24</v>
      </c>
      <c r="H41" s="13" t="s">
        <v>25</v>
      </c>
      <c r="I41" s="41">
        <f>(J41*$J$1)+J41</f>
        <v>6.57</v>
      </c>
      <c r="J41" s="28">
        <v>6.57</v>
      </c>
    </row>
    <row r="42" spans="1:10" x14ac:dyDescent="0.25">
      <c r="A42" s="11">
        <v>161</v>
      </c>
      <c r="B42" s="12" t="s">
        <v>50</v>
      </c>
      <c r="C42" s="12" t="s">
        <v>57</v>
      </c>
      <c r="D42" s="12" t="s">
        <v>52</v>
      </c>
      <c r="E42" s="15" t="s">
        <v>53</v>
      </c>
      <c r="F42" s="12" t="s">
        <v>67</v>
      </c>
      <c r="G42" s="12" t="s">
        <v>24</v>
      </c>
      <c r="H42" s="13" t="s">
        <v>25</v>
      </c>
      <c r="I42" s="41">
        <f>(J42*$J$1)+J42</f>
        <v>8.4499999999999993</v>
      </c>
      <c r="J42" s="28">
        <v>8.4499999999999993</v>
      </c>
    </row>
    <row r="43" spans="1:10" x14ac:dyDescent="0.25">
      <c r="A43" s="11">
        <v>162</v>
      </c>
      <c r="B43" s="12" t="s">
        <v>50</v>
      </c>
      <c r="C43" s="12" t="s">
        <v>59</v>
      </c>
      <c r="D43" s="12" t="s">
        <v>52</v>
      </c>
      <c r="E43" s="15" t="s">
        <v>53</v>
      </c>
      <c r="F43" s="12" t="s">
        <v>72</v>
      </c>
      <c r="G43" s="12" t="s">
        <v>24</v>
      </c>
      <c r="H43" s="13" t="s">
        <v>25</v>
      </c>
      <c r="I43" s="41">
        <f>(J43*$J$1)+J43</f>
        <v>12.58</v>
      </c>
      <c r="J43" s="28">
        <v>12.58</v>
      </c>
    </row>
    <row r="44" spans="1:10" x14ac:dyDescent="0.25">
      <c r="A44" s="11">
        <v>167</v>
      </c>
      <c r="B44" s="12" t="s">
        <v>50</v>
      </c>
      <c r="C44" s="12" t="s">
        <v>61</v>
      </c>
      <c r="D44" s="12" t="s">
        <v>52</v>
      </c>
      <c r="E44" s="15" t="s">
        <v>53</v>
      </c>
      <c r="F44" s="12" t="s">
        <v>56</v>
      </c>
      <c r="G44" s="12" t="s">
        <v>24</v>
      </c>
      <c r="H44" s="13" t="s">
        <v>25</v>
      </c>
      <c r="I44" s="41">
        <f>(J44*$J$1)+J44</f>
        <v>6.41</v>
      </c>
      <c r="J44" s="28">
        <v>6.41</v>
      </c>
    </row>
    <row r="45" spans="1:10" x14ac:dyDescent="0.25">
      <c r="A45" s="11">
        <v>479</v>
      </c>
      <c r="B45" s="12" t="s">
        <v>50</v>
      </c>
      <c r="C45" s="12" t="s">
        <v>63</v>
      </c>
      <c r="D45" s="12" t="s">
        <v>52</v>
      </c>
      <c r="E45" s="15" t="s">
        <v>53</v>
      </c>
      <c r="F45" s="12" t="s">
        <v>58</v>
      </c>
      <c r="G45" s="12" t="s">
        <v>24</v>
      </c>
      <c r="H45" s="13" t="s">
        <v>25</v>
      </c>
      <c r="I45" s="41">
        <f>(J45*$J$1)+J45</f>
        <v>7.92</v>
      </c>
      <c r="J45" s="28">
        <v>7.92</v>
      </c>
    </row>
    <row r="46" spans="1:10" x14ac:dyDescent="0.25">
      <c r="A46" s="11">
        <v>168</v>
      </c>
      <c r="B46" s="12" t="s">
        <v>50</v>
      </c>
      <c r="C46" s="12" t="s">
        <v>64</v>
      </c>
      <c r="D46" s="12" t="s">
        <v>52</v>
      </c>
      <c r="E46" s="15" t="s">
        <v>53</v>
      </c>
      <c r="F46" s="12" t="s">
        <v>67</v>
      </c>
      <c r="G46" s="12" t="s">
        <v>24</v>
      </c>
      <c r="H46" s="13" t="s">
        <v>25</v>
      </c>
      <c r="I46" s="41">
        <f>(J46*$J$1)+J46</f>
        <v>9.3699999999999992</v>
      </c>
      <c r="J46" s="28">
        <v>9.3699999999999992</v>
      </c>
    </row>
    <row r="47" spans="1:10" x14ac:dyDescent="0.25">
      <c r="A47" s="11">
        <v>169</v>
      </c>
      <c r="B47" s="12" t="s">
        <v>50</v>
      </c>
      <c r="C47" s="12" t="s">
        <v>66</v>
      </c>
      <c r="D47" s="12" t="s">
        <v>52</v>
      </c>
      <c r="E47" s="15" t="s">
        <v>53</v>
      </c>
      <c r="F47" s="12" t="s">
        <v>73</v>
      </c>
      <c r="G47" s="12" t="s">
        <v>24</v>
      </c>
      <c r="H47" s="13" t="s">
        <v>25</v>
      </c>
      <c r="I47" s="41">
        <f>(J47*$J$1)+J47</f>
        <v>12.03</v>
      </c>
      <c r="J47" s="28">
        <v>12.03</v>
      </c>
    </row>
    <row r="48" spans="1:10" ht="15.75" thickBot="1" x14ac:dyDescent="0.3">
      <c r="A48" s="11">
        <v>170</v>
      </c>
      <c r="B48" s="12" t="s">
        <v>50</v>
      </c>
      <c r="C48" s="12" t="s">
        <v>68</v>
      </c>
      <c r="D48" s="12" t="s">
        <v>52</v>
      </c>
      <c r="E48" s="15" t="s">
        <v>53</v>
      </c>
      <c r="F48" s="12" t="s">
        <v>74</v>
      </c>
      <c r="G48" s="12" t="s">
        <v>24</v>
      </c>
      <c r="H48" s="13" t="s">
        <v>25</v>
      </c>
      <c r="I48" s="41">
        <f>(J48*$J$1)+J48</f>
        <v>17.34</v>
      </c>
      <c r="J48" s="28">
        <v>17.34</v>
      </c>
    </row>
    <row r="49" spans="1:10" ht="15.75" thickBot="1" x14ac:dyDescent="0.3">
      <c r="A49" s="11">
        <v>414</v>
      </c>
      <c r="B49" s="12" t="s">
        <v>50</v>
      </c>
      <c r="C49" s="12" t="s">
        <v>51</v>
      </c>
      <c r="D49" s="12" t="s">
        <v>52</v>
      </c>
      <c r="E49" s="12" t="s">
        <v>75</v>
      </c>
      <c r="F49" s="12" t="s">
        <v>70</v>
      </c>
      <c r="G49" s="12" t="s">
        <v>9</v>
      </c>
      <c r="H49" s="13" t="s">
        <v>25</v>
      </c>
      <c r="I49" s="41">
        <f>(J49*$J$1)+J49</f>
        <v>3.85</v>
      </c>
      <c r="J49" s="28">
        <v>3.85</v>
      </c>
    </row>
    <row r="50" spans="1:10" x14ac:dyDescent="0.25">
      <c r="A50" s="11">
        <v>476</v>
      </c>
      <c r="B50" s="12" t="s">
        <v>50</v>
      </c>
      <c r="C50" s="12" t="s">
        <v>54</v>
      </c>
      <c r="D50" s="12" t="s">
        <v>52</v>
      </c>
      <c r="E50" s="15" t="s">
        <v>75</v>
      </c>
      <c r="F50" s="12" t="s">
        <v>94</v>
      </c>
      <c r="G50" s="12" t="s">
        <v>9</v>
      </c>
      <c r="H50" s="13" t="s">
        <v>25</v>
      </c>
      <c r="I50" s="41">
        <f>(J50*$J$1)+J50</f>
        <v>4.76</v>
      </c>
      <c r="J50" s="28">
        <v>4.76</v>
      </c>
    </row>
    <row r="51" spans="1:10" x14ac:dyDescent="0.25">
      <c r="A51" s="11">
        <v>419</v>
      </c>
      <c r="B51" s="12" t="s">
        <v>50</v>
      </c>
      <c r="C51" s="12" t="s">
        <v>55</v>
      </c>
      <c r="D51" s="12" t="s">
        <v>52</v>
      </c>
      <c r="E51" s="15" t="s">
        <v>75</v>
      </c>
      <c r="F51" s="12" t="s">
        <v>67</v>
      </c>
      <c r="G51" s="12" t="s">
        <v>9</v>
      </c>
      <c r="H51" s="13" t="s">
        <v>25</v>
      </c>
      <c r="I51" s="41">
        <f>(J51*$J$1)+J51</f>
        <v>5.47</v>
      </c>
      <c r="J51" s="28">
        <v>5.47</v>
      </c>
    </row>
    <row r="52" spans="1:10" x14ac:dyDescent="0.25">
      <c r="A52" s="11">
        <v>423</v>
      </c>
      <c r="B52" s="12" t="s">
        <v>50</v>
      </c>
      <c r="C52" s="12" t="s">
        <v>57</v>
      </c>
      <c r="D52" s="12" t="s">
        <v>52</v>
      </c>
      <c r="E52" s="15" t="s">
        <v>75</v>
      </c>
      <c r="F52" s="12" t="s">
        <v>76</v>
      </c>
      <c r="G52" s="12" t="s">
        <v>9</v>
      </c>
      <c r="H52" s="13" t="s">
        <v>25</v>
      </c>
      <c r="I52" s="41">
        <f>(J52*$J$1)+J52</f>
        <v>7.03</v>
      </c>
      <c r="J52" s="28">
        <v>7.03</v>
      </c>
    </row>
    <row r="53" spans="1:10" x14ac:dyDescent="0.25">
      <c r="A53" s="11">
        <v>427</v>
      </c>
      <c r="B53" s="12" t="s">
        <v>50</v>
      </c>
      <c r="C53" s="12" t="s">
        <v>59</v>
      </c>
      <c r="D53" s="12" t="s">
        <v>52</v>
      </c>
      <c r="E53" s="15" t="s">
        <v>75</v>
      </c>
      <c r="F53" s="12" t="s">
        <v>77</v>
      </c>
      <c r="G53" s="12" t="s">
        <v>9</v>
      </c>
      <c r="H53" s="13" t="s">
        <v>25</v>
      </c>
      <c r="I53" s="41">
        <f>(J53*$J$1)+J53</f>
        <v>10.42</v>
      </c>
      <c r="J53" s="28">
        <v>10.42</v>
      </c>
    </row>
    <row r="54" spans="1:10" x14ac:dyDescent="0.25">
      <c r="A54" s="11">
        <v>417</v>
      </c>
      <c r="B54" s="12" t="s">
        <v>50</v>
      </c>
      <c r="C54" s="12" t="s">
        <v>61</v>
      </c>
      <c r="D54" s="12" t="s">
        <v>52</v>
      </c>
      <c r="E54" s="15" t="s">
        <v>75</v>
      </c>
      <c r="F54" s="12" t="s">
        <v>78</v>
      </c>
      <c r="G54" s="12" t="s">
        <v>9</v>
      </c>
      <c r="H54" s="13" t="s">
        <v>25</v>
      </c>
      <c r="I54" s="41">
        <f>(J54*$J$1)+J54</f>
        <v>5.21</v>
      </c>
      <c r="J54" s="28">
        <v>5.21</v>
      </c>
    </row>
    <row r="55" spans="1:10" x14ac:dyDescent="0.25">
      <c r="A55" s="11">
        <v>474</v>
      </c>
      <c r="B55" s="12" t="s">
        <v>50</v>
      </c>
      <c r="C55" s="12" t="s">
        <v>63</v>
      </c>
      <c r="D55" s="12" t="s">
        <v>52</v>
      </c>
      <c r="E55" s="15" t="s">
        <v>75</v>
      </c>
      <c r="F55" s="12" t="s">
        <v>67</v>
      </c>
      <c r="G55" s="12" t="s">
        <v>9</v>
      </c>
      <c r="H55" s="13" t="s">
        <v>25</v>
      </c>
      <c r="I55" s="41">
        <f>(J55*$J$1)+J55</f>
        <v>6.58</v>
      </c>
      <c r="J55" s="28">
        <v>6.58</v>
      </c>
    </row>
    <row r="56" spans="1:10" x14ac:dyDescent="0.25">
      <c r="A56" s="11">
        <v>421</v>
      </c>
      <c r="B56" s="12" t="s">
        <v>50</v>
      </c>
      <c r="C56" s="12" t="s">
        <v>64</v>
      </c>
      <c r="D56" s="12" t="s">
        <v>52</v>
      </c>
      <c r="E56" s="15" t="s">
        <v>75</v>
      </c>
      <c r="F56" s="12" t="s">
        <v>73</v>
      </c>
      <c r="G56" s="12" t="s">
        <v>9</v>
      </c>
      <c r="H56" s="13" t="s">
        <v>25</v>
      </c>
      <c r="I56" s="41">
        <f>(J56*$J$1)+J56</f>
        <v>7.7</v>
      </c>
      <c r="J56" s="28">
        <v>7.7</v>
      </c>
    </row>
    <row r="57" spans="1:10" x14ac:dyDescent="0.25">
      <c r="A57" s="16">
        <v>425</v>
      </c>
      <c r="B57" s="17" t="s">
        <v>50</v>
      </c>
      <c r="C57" s="17" t="s">
        <v>66</v>
      </c>
      <c r="D57" s="17" t="s">
        <v>52</v>
      </c>
      <c r="E57" s="18" t="s">
        <v>75</v>
      </c>
      <c r="F57" s="17" t="s">
        <v>79</v>
      </c>
      <c r="G57" s="17" t="s">
        <v>9</v>
      </c>
      <c r="H57" s="19" t="s">
        <v>25</v>
      </c>
      <c r="I57" s="42">
        <f>(J57*$J$1)+J57</f>
        <v>9.99</v>
      </c>
      <c r="J57" s="29">
        <v>9.99</v>
      </c>
    </row>
    <row r="58" spans="1:10" x14ac:dyDescent="0.25">
      <c r="A58" s="21">
        <v>429</v>
      </c>
      <c r="B58" s="22" t="s">
        <v>50</v>
      </c>
      <c r="C58" s="22" t="s">
        <v>68</v>
      </c>
      <c r="D58" s="22" t="s">
        <v>52</v>
      </c>
      <c r="E58" s="23" t="s">
        <v>75</v>
      </c>
      <c r="F58" s="22" t="s">
        <v>80</v>
      </c>
      <c r="G58" s="22" t="s">
        <v>9</v>
      </c>
      <c r="H58" s="6" t="s">
        <v>25</v>
      </c>
      <c r="I58" s="43">
        <f>(J58*$J$1)+J58</f>
        <v>14.3</v>
      </c>
      <c r="J58" s="30">
        <v>14.3</v>
      </c>
    </row>
    <row r="59" spans="1:10" x14ac:dyDescent="0.25">
      <c r="A59" s="11">
        <v>416</v>
      </c>
      <c r="B59" s="12" t="s">
        <v>50</v>
      </c>
      <c r="C59" s="12" t="s">
        <v>51</v>
      </c>
      <c r="D59" s="12" t="s">
        <v>52</v>
      </c>
      <c r="E59" s="15" t="s">
        <v>75</v>
      </c>
      <c r="F59" s="12" t="s">
        <v>62</v>
      </c>
      <c r="G59" s="12" t="s">
        <v>24</v>
      </c>
      <c r="H59" s="13" t="s">
        <v>25</v>
      </c>
      <c r="I59" s="41">
        <f>(J59*$J$1)+J59</f>
        <v>4.5</v>
      </c>
      <c r="J59" s="28">
        <v>4.5</v>
      </c>
    </row>
    <row r="60" spans="1:10" x14ac:dyDescent="0.25">
      <c r="A60" s="11">
        <v>477</v>
      </c>
      <c r="B60" s="12" t="s">
        <v>50</v>
      </c>
      <c r="C60" s="12" t="s">
        <v>54</v>
      </c>
      <c r="D60" s="12" t="s">
        <v>52</v>
      </c>
      <c r="E60" s="15" t="s">
        <v>75</v>
      </c>
      <c r="F60" s="12" t="s">
        <v>56</v>
      </c>
      <c r="G60" s="12" t="s">
        <v>24</v>
      </c>
      <c r="H60" s="13" t="s">
        <v>25</v>
      </c>
      <c r="I60" s="41">
        <f>(J60*$J$1)+J60</f>
        <v>5.57</v>
      </c>
      <c r="J60" s="28">
        <v>5.57</v>
      </c>
    </row>
    <row r="61" spans="1:10" x14ac:dyDescent="0.25">
      <c r="A61" s="11">
        <v>420</v>
      </c>
      <c r="B61" s="12" t="s">
        <v>50</v>
      </c>
      <c r="C61" s="12" t="s">
        <v>55</v>
      </c>
      <c r="D61" s="12" t="s">
        <v>52</v>
      </c>
      <c r="E61" s="15" t="s">
        <v>75</v>
      </c>
      <c r="F61" s="12" t="s">
        <v>81</v>
      </c>
      <c r="G61" s="12" t="s">
        <v>24</v>
      </c>
      <c r="H61" s="13" t="s">
        <v>25</v>
      </c>
      <c r="I61" s="41">
        <f>(J61*$J$1)+J61</f>
        <v>6.38</v>
      </c>
      <c r="J61" s="28">
        <v>6.38</v>
      </c>
    </row>
    <row r="62" spans="1:10" x14ac:dyDescent="0.25">
      <c r="A62" s="11">
        <v>424</v>
      </c>
      <c r="B62" s="12" t="s">
        <v>50</v>
      </c>
      <c r="C62" s="12" t="s">
        <v>57</v>
      </c>
      <c r="D62" s="12" t="s">
        <v>52</v>
      </c>
      <c r="E62" s="15" t="s">
        <v>75</v>
      </c>
      <c r="F62" s="12" t="s">
        <v>82</v>
      </c>
      <c r="G62" s="12" t="s">
        <v>24</v>
      </c>
      <c r="H62" s="13" t="s">
        <v>25</v>
      </c>
      <c r="I62" s="41">
        <f>(J62*$J$1)+J62</f>
        <v>8.19</v>
      </c>
      <c r="J62" s="28">
        <v>8.19</v>
      </c>
    </row>
    <row r="63" spans="1:10" x14ac:dyDescent="0.25">
      <c r="A63" s="11">
        <v>428</v>
      </c>
      <c r="B63" s="12" t="s">
        <v>50</v>
      </c>
      <c r="C63" s="12" t="s">
        <v>59</v>
      </c>
      <c r="D63" s="12" t="s">
        <v>52</v>
      </c>
      <c r="E63" s="15" t="s">
        <v>75</v>
      </c>
      <c r="F63" s="12" t="s">
        <v>83</v>
      </c>
      <c r="G63" s="12" t="s">
        <v>24</v>
      </c>
      <c r="H63" s="13" t="s">
        <v>25</v>
      </c>
      <c r="I63" s="41">
        <f>(J63*$J$1)+J63</f>
        <v>12.21</v>
      </c>
      <c r="J63" s="28">
        <v>12.21</v>
      </c>
    </row>
    <row r="64" spans="1:10" x14ac:dyDescent="0.25">
      <c r="A64" s="11">
        <v>418</v>
      </c>
      <c r="B64" s="12" t="s">
        <v>50</v>
      </c>
      <c r="C64" s="12" t="s">
        <v>61</v>
      </c>
      <c r="D64" s="12" t="s">
        <v>52</v>
      </c>
      <c r="E64" s="15" t="s">
        <v>75</v>
      </c>
      <c r="F64" s="12" t="s">
        <v>84</v>
      </c>
      <c r="G64" s="12" t="s">
        <v>24</v>
      </c>
      <c r="H64" s="13" t="s">
        <v>25</v>
      </c>
      <c r="I64" s="41">
        <f>(J64*$J$1)+J64</f>
        <v>6.23</v>
      </c>
      <c r="J64" s="28">
        <v>6.23</v>
      </c>
    </row>
    <row r="65" spans="1:10" x14ac:dyDescent="0.25">
      <c r="A65" s="11">
        <v>475</v>
      </c>
      <c r="B65" s="12" t="s">
        <v>50</v>
      </c>
      <c r="C65" s="12" t="s">
        <v>63</v>
      </c>
      <c r="D65" s="12" t="s">
        <v>52</v>
      </c>
      <c r="E65" s="15" t="s">
        <v>75</v>
      </c>
      <c r="F65" s="12" t="s">
        <v>73</v>
      </c>
      <c r="G65" s="12" t="s">
        <v>24</v>
      </c>
      <c r="H65" s="13" t="s">
        <v>25</v>
      </c>
      <c r="I65" s="41">
        <f>(J65*$J$1)+J65</f>
        <v>7.67</v>
      </c>
      <c r="J65" s="28">
        <v>7.67</v>
      </c>
    </row>
    <row r="66" spans="1:10" x14ac:dyDescent="0.25">
      <c r="A66" s="11">
        <v>422</v>
      </c>
      <c r="B66" s="12" t="s">
        <v>50</v>
      </c>
      <c r="C66" s="12" t="s">
        <v>64</v>
      </c>
      <c r="D66" s="12" t="s">
        <v>52</v>
      </c>
      <c r="E66" s="15" t="s">
        <v>75</v>
      </c>
      <c r="F66" s="12" t="s">
        <v>82</v>
      </c>
      <c r="G66" s="12" t="s">
        <v>24</v>
      </c>
      <c r="H66" s="13" t="s">
        <v>25</v>
      </c>
      <c r="I66" s="41">
        <f>(J66*$J$1)+J66</f>
        <v>9.08</v>
      </c>
      <c r="J66" s="28">
        <v>9.08</v>
      </c>
    </row>
    <row r="67" spans="1:10" x14ac:dyDescent="0.25">
      <c r="A67" s="11">
        <v>426</v>
      </c>
      <c r="B67" s="12" t="s">
        <v>50</v>
      </c>
      <c r="C67" s="12" t="s">
        <v>66</v>
      </c>
      <c r="D67" s="12" t="s">
        <v>52</v>
      </c>
      <c r="E67" s="15" t="s">
        <v>75</v>
      </c>
      <c r="F67" s="12" t="s">
        <v>85</v>
      </c>
      <c r="G67" s="12" t="s">
        <v>24</v>
      </c>
      <c r="H67" s="13" t="s">
        <v>25</v>
      </c>
      <c r="I67" s="41">
        <f>(J67*$J$1)+J67</f>
        <v>11.67</v>
      </c>
      <c r="J67" s="28">
        <v>11.67</v>
      </c>
    </row>
    <row r="68" spans="1:10" ht="15.75" thickBot="1" x14ac:dyDescent="0.3">
      <c r="A68" s="11">
        <v>430</v>
      </c>
      <c r="B68" s="12" t="s">
        <v>50</v>
      </c>
      <c r="C68" s="12" t="s">
        <v>68</v>
      </c>
      <c r="D68" s="12" t="s">
        <v>52</v>
      </c>
      <c r="E68" s="15" t="s">
        <v>75</v>
      </c>
      <c r="F68" s="12" t="s">
        <v>86</v>
      </c>
      <c r="G68" s="12" t="s">
        <v>24</v>
      </c>
      <c r="H68" s="13" t="s">
        <v>25</v>
      </c>
      <c r="I68" s="41">
        <f>(J68*$J$1)+J68</f>
        <v>16.829999999999998</v>
      </c>
      <c r="J68" s="28">
        <v>16.829999999999998</v>
      </c>
    </row>
  </sheetData>
  <pageMargins left="0.51181102362204722" right="0.51181102362204722" top="0.78740157480314965" bottom="0.78740157480314965" header="0.31496062992125984" footer="0.31496062992125984"/>
  <pageSetup paperSize="9" scale="76" fitToHeight="0" orientation="portrait" r:id="rId1"/>
  <headerFooter>
    <oddFooter>&amp;C&amp;G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D7235-D62E-4136-BC8F-3CEC9875735E}">
  <sheetPr>
    <pageSetUpPr fitToPage="1"/>
  </sheetPr>
  <dimension ref="A1:J68"/>
  <sheetViews>
    <sheetView showGridLines="0" workbookViewId="0">
      <selection activeCell="K9" sqref="K9"/>
    </sheetView>
  </sheetViews>
  <sheetFormatPr defaultColWidth="51" defaultRowHeight="15" x14ac:dyDescent="0.25"/>
  <cols>
    <col min="1" max="1" width="8.5703125" bestFit="1" customWidth="1"/>
    <col min="2" max="2" width="32.140625" bestFit="1" customWidth="1"/>
    <col min="3" max="3" width="15.140625" style="25" bestFit="1" customWidth="1"/>
    <col min="4" max="4" width="6.5703125" bestFit="1" customWidth="1"/>
    <col min="5" max="5" width="12.28515625" style="25" bestFit="1" customWidth="1"/>
    <col min="6" max="6" width="17.7109375" style="25" bestFit="1" customWidth="1"/>
    <col min="7" max="8" width="9" style="25" bestFit="1" customWidth="1"/>
    <col min="9" max="9" width="8.28515625" style="44" bestFit="1" customWidth="1"/>
    <col min="10" max="10" width="8.28515625" style="36" hidden="1" customWidth="1"/>
  </cols>
  <sheetData>
    <row r="1" spans="1:10" x14ac:dyDescent="0.25">
      <c r="A1" s="47" t="s">
        <v>0</v>
      </c>
      <c r="B1" s="48" t="s">
        <v>1</v>
      </c>
      <c r="C1" s="48" t="s">
        <v>2</v>
      </c>
      <c r="D1" s="52"/>
      <c r="E1" s="48" t="s">
        <v>3</v>
      </c>
      <c r="F1" s="48" t="s">
        <v>91</v>
      </c>
      <c r="G1" s="47" t="s">
        <v>4</v>
      </c>
      <c r="H1" s="53"/>
      <c r="I1" s="49" t="s">
        <v>5</v>
      </c>
      <c r="J1" s="46"/>
    </row>
    <row r="2" spans="1:10" ht="15.75" thickBot="1" x14ac:dyDescent="0.3">
      <c r="A2" s="1">
        <v>8</v>
      </c>
      <c r="B2" s="2" t="s">
        <v>6</v>
      </c>
      <c r="C2" s="2" t="s">
        <v>7</v>
      </c>
      <c r="D2" s="2" t="s">
        <v>8</v>
      </c>
      <c r="E2" s="2">
        <v>72</v>
      </c>
      <c r="F2" s="2" t="s">
        <v>9</v>
      </c>
      <c r="G2" s="3" t="s">
        <v>10</v>
      </c>
      <c r="H2" s="4" t="s">
        <v>11</v>
      </c>
      <c r="I2" s="32">
        <f>(J2*$J$1)+J2</f>
        <v>7.41</v>
      </c>
      <c r="J2" s="32">
        <v>7.41</v>
      </c>
    </row>
    <row r="3" spans="1:10" ht="15.75" thickBot="1" x14ac:dyDescent="0.3">
      <c r="A3" s="1">
        <v>310</v>
      </c>
      <c r="B3" s="2" t="s">
        <v>6</v>
      </c>
      <c r="C3" s="2" t="s">
        <v>12</v>
      </c>
      <c r="D3" s="2" t="s">
        <v>13</v>
      </c>
      <c r="E3" s="2">
        <v>60</v>
      </c>
      <c r="F3" s="2" t="s">
        <v>9</v>
      </c>
      <c r="G3" s="3" t="s">
        <v>10</v>
      </c>
      <c r="H3" s="4" t="s">
        <v>14</v>
      </c>
      <c r="I3" s="32">
        <f>(J3*$J$1)+J3</f>
        <v>10.88</v>
      </c>
      <c r="J3" s="32">
        <v>10.88</v>
      </c>
    </row>
    <row r="4" spans="1:10" ht="15.75" thickBot="1" x14ac:dyDescent="0.3">
      <c r="A4" s="1">
        <v>326</v>
      </c>
      <c r="B4" s="2" t="s">
        <v>6</v>
      </c>
      <c r="C4" s="2" t="s">
        <v>15</v>
      </c>
      <c r="D4" s="2" t="s">
        <v>16</v>
      </c>
      <c r="E4" s="2">
        <v>50</v>
      </c>
      <c r="F4" s="2" t="s">
        <v>9</v>
      </c>
      <c r="G4" s="3" t="s">
        <v>10</v>
      </c>
      <c r="H4" s="4" t="s">
        <v>17</v>
      </c>
      <c r="I4" s="32">
        <f>(J4*$J$1)+J4</f>
        <v>12.56</v>
      </c>
      <c r="J4" s="32">
        <v>12.56</v>
      </c>
    </row>
    <row r="5" spans="1:10" ht="15.75" thickBot="1" x14ac:dyDescent="0.3">
      <c r="A5" s="1">
        <v>13</v>
      </c>
      <c r="B5" s="2" t="s">
        <v>6</v>
      </c>
      <c r="C5" s="2" t="s">
        <v>15</v>
      </c>
      <c r="D5" s="2" t="s">
        <v>8</v>
      </c>
      <c r="E5" s="2">
        <v>50</v>
      </c>
      <c r="F5" s="2" t="s">
        <v>18</v>
      </c>
      <c r="G5" s="3" t="s">
        <v>10</v>
      </c>
      <c r="H5" s="4" t="s">
        <v>17</v>
      </c>
      <c r="I5" s="32">
        <f>(J5*$J$1)+J5</f>
        <v>12.13</v>
      </c>
      <c r="J5" s="32">
        <v>12.13</v>
      </c>
    </row>
    <row r="6" spans="1:10" ht="15.75" thickBot="1" x14ac:dyDescent="0.3">
      <c r="A6" s="1">
        <v>313</v>
      </c>
      <c r="B6" s="2" t="s">
        <v>6</v>
      </c>
      <c r="C6" s="2" t="s">
        <v>19</v>
      </c>
      <c r="D6" s="2" t="s">
        <v>13</v>
      </c>
      <c r="E6" s="2">
        <v>50</v>
      </c>
      <c r="F6" s="2" t="s">
        <v>18</v>
      </c>
      <c r="G6" s="3" t="s">
        <v>10</v>
      </c>
      <c r="H6" s="4" t="s">
        <v>20</v>
      </c>
      <c r="I6" s="32">
        <f>(J6*$J$1)+J6</f>
        <v>13.4</v>
      </c>
      <c r="J6" s="32">
        <v>13.4</v>
      </c>
    </row>
    <row r="7" spans="1:10" ht="15.75" thickBot="1" x14ac:dyDescent="0.3">
      <c r="A7" s="1">
        <v>329</v>
      </c>
      <c r="B7" s="2" t="s">
        <v>6</v>
      </c>
      <c r="C7" s="2" t="s">
        <v>21</v>
      </c>
      <c r="D7" s="2" t="s">
        <v>16</v>
      </c>
      <c r="E7" s="2">
        <v>50</v>
      </c>
      <c r="F7" s="2" t="s">
        <v>18</v>
      </c>
      <c r="G7" s="3" t="s">
        <v>10</v>
      </c>
      <c r="H7" s="4" t="s">
        <v>22</v>
      </c>
      <c r="I7" s="32">
        <f>(J7*$J$1)+J7</f>
        <v>15.07</v>
      </c>
      <c r="J7" s="32">
        <v>15.07</v>
      </c>
    </row>
    <row r="8" spans="1:10" ht="15.75" thickBot="1" x14ac:dyDescent="0.3">
      <c r="A8" s="1">
        <v>51</v>
      </c>
      <c r="B8" s="2" t="s">
        <v>6</v>
      </c>
      <c r="C8" s="2" t="s">
        <v>23</v>
      </c>
      <c r="D8" s="2" t="s">
        <v>8</v>
      </c>
      <c r="E8" s="2">
        <v>40</v>
      </c>
      <c r="F8" s="2" t="s">
        <v>24</v>
      </c>
      <c r="G8" s="6" t="s">
        <v>25</v>
      </c>
      <c r="H8" s="4" t="s">
        <v>26</v>
      </c>
      <c r="I8" s="32">
        <f>(J8*$J$1)+J8</f>
        <v>18.91</v>
      </c>
      <c r="J8" s="32">
        <v>18.91</v>
      </c>
    </row>
    <row r="9" spans="1:10" ht="15.75" thickBot="1" x14ac:dyDescent="0.3">
      <c r="A9" s="1">
        <v>339</v>
      </c>
      <c r="B9" s="2" t="s">
        <v>6</v>
      </c>
      <c r="C9" s="2" t="s">
        <v>23</v>
      </c>
      <c r="D9" s="2" t="s">
        <v>13</v>
      </c>
      <c r="E9" s="2">
        <v>32</v>
      </c>
      <c r="F9" s="2" t="s">
        <v>24</v>
      </c>
      <c r="G9" s="6" t="s">
        <v>25</v>
      </c>
      <c r="H9" s="4" t="s">
        <v>26</v>
      </c>
      <c r="I9" s="32">
        <f>(J9*$J$1)+J9</f>
        <v>20.37</v>
      </c>
      <c r="J9" s="32">
        <v>20.37</v>
      </c>
    </row>
    <row r="10" spans="1:10" ht="15.75" thickBot="1" x14ac:dyDescent="0.3">
      <c r="A10" s="1">
        <v>349</v>
      </c>
      <c r="B10" s="2" t="s">
        <v>6</v>
      </c>
      <c r="C10" s="2" t="s">
        <v>23</v>
      </c>
      <c r="D10" s="2" t="s">
        <v>16</v>
      </c>
      <c r="E10" s="2">
        <v>32</v>
      </c>
      <c r="F10" s="2" t="s">
        <v>24</v>
      </c>
      <c r="G10" s="6" t="s">
        <v>25</v>
      </c>
      <c r="H10" s="4" t="s">
        <v>26</v>
      </c>
      <c r="I10" s="32">
        <f>(J10*$J$1)+J10</f>
        <v>22.73</v>
      </c>
      <c r="J10" s="32">
        <v>22.73</v>
      </c>
    </row>
    <row r="11" spans="1:10" ht="15.75" thickBot="1" x14ac:dyDescent="0.3">
      <c r="A11" s="1">
        <v>85</v>
      </c>
      <c r="B11" s="2" t="s">
        <v>27</v>
      </c>
      <c r="C11" s="2" t="s">
        <v>28</v>
      </c>
      <c r="D11" s="2" t="s">
        <v>8</v>
      </c>
      <c r="E11" s="2">
        <v>36</v>
      </c>
      <c r="F11" s="2" t="s">
        <v>9</v>
      </c>
      <c r="G11" s="3" t="s">
        <v>10</v>
      </c>
      <c r="H11" s="4" t="s">
        <v>29</v>
      </c>
      <c r="I11" s="32">
        <f>(J11*$J$1)+J11</f>
        <v>16.940000000000001</v>
      </c>
      <c r="J11" s="32">
        <v>16.940000000000001</v>
      </c>
    </row>
    <row r="12" spans="1:10" ht="15.75" thickBot="1" x14ac:dyDescent="0.3">
      <c r="A12" s="1">
        <v>263</v>
      </c>
      <c r="B12" s="2" t="s">
        <v>27</v>
      </c>
      <c r="C12" s="2" t="s">
        <v>28</v>
      </c>
      <c r="D12" s="2" t="s">
        <v>13</v>
      </c>
      <c r="E12" s="2">
        <v>30</v>
      </c>
      <c r="F12" s="2" t="s">
        <v>9</v>
      </c>
      <c r="G12" s="3" t="s">
        <v>10</v>
      </c>
      <c r="H12" s="4" t="s">
        <v>30</v>
      </c>
      <c r="I12" s="32">
        <f>(J12*$J$1)+J12</f>
        <v>20.87</v>
      </c>
      <c r="J12" s="32">
        <v>20.87</v>
      </c>
    </row>
    <row r="13" spans="1:10" ht="15.75" thickBot="1" x14ac:dyDescent="0.3">
      <c r="A13" s="1">
        <v>279</v>
      </c>
      <c r="B13" s="2" t="s">
        <v>27</v>
      </c>
      <c r="C13" s="2" t="s">
        <v>28</v>
      </c>
      <c r="D13" s="2" t="s">
        <v>16</v>
      </c>
      <c r="E13" s="2">
        <v>30</v>
      </c>
      <c r="F13" s="2" t="s">
        <v>9</v>
      </c>
      <c r="G13" s="3" t="s">
        <v>10</v>
      </c>
      <c r="H13" s="4" t="s">
        <v>31</v>
      </c>
      <c r="I13" s="32">
        <f>(J13*$J$1)+J13</f>
        <v>22.61</v>
      </c>
      <c r="J13" s="32">
        <v>22.61</v>
      </c>
    </row>
    <row r="14" spans="1:10" ht="15.75" thickBot="1" x14ac:dyDescent="0.3">
      <c r="A14" s="1">
        <v>94</v>
      </c>
      <c r="B14" s="2" t="s">
        <v>27</v>
      </c>
      <c r="C14" s="2" t="s">
        <v>28</v>
      </c>
      <c r="D14" s="2" t="s">
        <v>8</v>
      </c>
      <c r="E14" s="2">
        <v>30</v>
      </c>
      <c r="F14" s="2" t="s">
        <v>18</v>
      </c>
      <c r="G14" s="3" t="s">
        <v>10</v>
      </c>
      <c r="H14" s="4" t="s">
        <v>32</v>
      </c>
      <c r="I14" s="32">
        <f>(J14*$J$1)+J14</f>
        <v>24.17</v>
      </c>
      <c r="J14" s="32">
        <v>24.17</v>
      </c>
    </row>
    <row r="15" spans="1:10" x14ac:dyDescent="0.25">
      <c r="A15" s="1">
        <v>271</v>
      </c>
      <c r="B15" s="2" t="s">
        <v>27</v>
      </c>
      <c r="C15" s="2" t="s">
        <v>28</v>
      </c>
      <c r="D15" s="2" t="s">
        <v>13</v>
      </c>
      <c r="E15" s="2">
        <v>25</v>
      </c>
      <c r="F15" s="2" t="s">
        <v>18</v>
      </c>
      <c r="G15" s="3" t="s">
        <v>10</v>
      </c>
      <c r="H15" s="4" t="s">
        <v>33</v>
      </c>
      <c r="I15" s="32">
        <f>(J15*$J$1)+J15</f>
        <v>26.35</v>
      </c>
      <c r="J15" s="32">
        <v>26.35</v>
      </c>
    </row>
    <row r="16" spans="1:10" ht="15.75" thickBot="1" x14ac:dyDescent="0.3">
      <c r="A16" s="1">
        <v>286</v>
      </c>
      <c r="B16" s="2" t="s">
        <v>27</v>
      </c>
      <c r="C16" s="2" t="s">
        <v>28</v>
      </c>
      <c r="D16" s="2" t="s">
        <v>16</v>
      </c>
      <c r="E16" s="2">
        <v>25</v>
      </c>
      <c r="F16" s="2" t="s">
        <v>18</v>
      </c>
      <c r="G16" s="3" t="s">
        <v>10</v>
      </c>
      <c r="H16" s="4" t="s">
        <v>34</v>
      </c>
      <c r="I16" s="32">
        <f>(J16*$J$1)+J16</f>
        <v>28.47</v>
      </c>
      <c r="J16" s="32">
        <v>28.47</v>
      </c>
    </row>
    <row r="17" spans="1:10" ht="15.75" thickBot="1" x14ac:dyDescent="0.3">
      <c r="A17" s="1">
        <v>132</v>
      </c>
      <c r="B17" s="2" t="s">
        <v>27</v>
      </c>
      <c r="C17" s="2" t="s">
        <v>28</v>
      </c>
      <c r="D17" s="2" t="s">
        <v>8</v>
      </c>
      <c r="E17" s="2">
        <v>20</v>
      </c>
      <c r="F17" s="2" t="s">
        <v>24</v>
      </c>
      <c r="G17" s="6" t="s">
        <v>25</v>
      </c>
      <c r="H17" s="4" t="s">
        <v>35</v>
      </c>
      <c r="I17" s="32">
        <f>(J17*$J$1)+J17</f>
        <v>30.15</v>
      </c>
      <c r="J17" s="32">
        <v>30.15</v>
      </c>
    </row>
    <row r="18" spans="1:10" ht="15.75" thickBot="1" x14ac:dyDescent="0.3">
      <c r="A18" s="1">
        <v>294</v>
      </c>
      <c r="B18" s="2" t="s">
        <v>27</v>
      </c>
      <c r="C18" s="2" t="s">
        <v>28</v>
      </c>
      <c r="D18" s="2" t="s">
        <v>13</v>
      </c>
      <c r="E18" s="2">
        <v>20</v>
      </c>
      <c r="F18" s="2" t="s">
        <v>24</v>
      </c>
      <c r="G18" s="6" t="s">
        <v>25</v>
      </c>
      <c r="H18" s="4" t="s">
        <v>36</v>
      </c>
      <c r="I18" s="32">
        <f>(J18*$J$1)+J18</f>
        <v>31.67</v>
      </c>
      <c r="J18" s="32">
        <v>31.67</v>
      </c>
    </row>
    <row r="19" spans="1:10" ht="15.75" thickBot="1" x14ac:dyDescent="0.3">
      <c r="A19" s="1">
        <v>300</v>
      </c>
      <c r="B19" s="2" t="s">
        <v>27</v>
      </c>
      <c r="C19" s="2" t="s">
        <v>28</v>
      </c>
      <c r="D19" s="2" t="s">
        <v>16</v>
      </c>
      <c r="E19" s="2">
        <v>20</v>
      </c>
      <c r="F19" s="2" t="s">
        <v>24</v>
      </c>
      <c r="G19" s="6" t="s">
        <v>25</v>
      </c>
      <c r="H19" s="4" t="s">
        <v>37</v>
      </c>
      <c r="I19" s="32">
        <f>(J19*$J$1)+J19</f>
        <v>33.58</v>
      </c>
      <c r="J19" s="32">
        <v>33.58</v>
      </c>
    </row>
    <row r="20" spans="1:10" ht="15.75" thickBot="1" x14ac:dyDescent="0.3">
      <c r="A20" s="1">
        <v>1</v>
      </c>
      <c r="B20" s="2" t="s">
        <v>38</v>
      </c>
      <c r="C20" s="2" t="s">
        <v>39</v>
      </c>
      <c r="D20" s="7" t="s">
        <v>8</v>
      </c>
      <c r="E20" s="7">
        <v>1000</v>
      </c>
      <c r="F20" s="7" t="s">
        <v>9</v>
      </c>
      <c r="G20" s="8" t="s">
        <v>10</v>
      </c>
      <c r="H20" s="9"/>
      <c r="I20" s="33">
        <f>(J20*$J$1)+J20</f>
        <v>0.42</v>
      </c>
      <c r="J20" s="33">
        <v>0.42</v>
      </c>
    </row>
    <row r="21" spans="1:10" ht="15.75" thickBot="1" x14ac:dyDescent="0.3">
      <c r="A21" s="1">
        <v>2</v>
      </c>
      <c r="B21" s="2" t="s">
        <v>40</v>
      </c>
      <c r="C21" s="2" t="s">
        <v>39</v>
      </c>
      <c r="D21" s="2" t="s">
        <v>13</v>
      </c>
      <c r="E21" s="2">
        <v>1000</v>
      </c>
      <c r="F21" s="2" t="s">
        <v>9</v>
      </c>
      <c r="G21" s="3" t="s">
        <v>10</v>
      </c>
      <c r="H21" s="4"/>
      <c r="I21" s="32">
        <f>(J21*$J$1)+J21</f>
        <v>0.44</v>
      </c>
      <c r="J21" s="32">
        <v>0.44</v>
      </c>
    </row>
    <row r="22" spans="1:10" ht="15.75" thickBot="1" x14ac:dyDescent="0.3">
      <c r="A22" s="1">
        <v>3</v>
      </c>
      <c r="B22" s="2" t="s">
        <v>41</v>
      </c>
      <c r="C22" s="2" t="s">
        <v>39</v>
      </c>
      <c r="D22" s="2" t="s">
        <v>16</v>
      </c>
      <c r="E22" s="2">
        <v>1000</v>
      </c>
      <c r="F22" s="2" t="s">
        <v>9</v>
      </c>
      <c r="G22" s="3" t="s">
        <v>10</v>
      </c>
      <c r="H22" s="4"/>
      <c r="I22" s="32">
        <f>(J22*$J$1)+J22</f>
        <v>0.46</v>
      </c>
      <c r="J22" s="32">
        <v>0.46</v>
      </c>
    </row>
    <row r="23" spans="1:10" ht="15.75" thickBot="1" x14ac:dyDescent="0.3">
      <c r="A23" s="1">
        <v>1425</v>
      </c>
      <c r="B23" s="2" t="s">
        <v>87</v>
      </c>
      <c r="C23" s="2" t="s">
        <v>39</v>
      </c>
      <c r="D23" s="7" t="s">
        <v>8</v>
      </c>
      <c r="E23" s="7">
        <v>1000</v>
      </c>
      <c r="F23" s="7" t="s">
        <v>24</v>
      </c>
      <c r="G23" s="8" t="s">
        <v>90</v>
      </c>
      <c r="H23" s="9"/>
      <c r="I23" s="33">
        <f>(J23*$J$1)+J23</f>
        <v>0.61</v>
      </c>
      <c r="J23" s="34">
        <v>0.61</v>
      </c>
    </row>
    <row r="24" spans="1:10" ht="15.75" thickBot="1" x14ac:dyDescent="0.3">
      <c r="A24" s="1">
        <v>1426</v>
      </c>
      <c r="B24" s="2" t="s">
        <v>88</v>
      </c>
      <c r="C24" s="2" t="s">
        <v>39</v>
      </c>
      <c r="D24" s="2" t="s">
        <v>13</v>
      </c>
      <c r="E24" s="2">
        <v>1000</v>
      </c>
      <c r="F24" s="2" t="s">
        <v>24</v>
      </c>
      <c r="G24" s="8" t="s">
        <v>90</v>
      </c>
      <c r="H24" s="4"/>
      <c r="I24" s="32">
        <f>(J24*$J$1)+J24</f>
        <v>0.64</v>
      </c>
      <c r="J24" s="35">
        <v>0.64</v>
      </c>
    </row>
    <row r="25" spans="1:10" ht="15.75" thickBot="1" x14ac:dyDescent="0.3">
      <c r="A25" s="1">
        <v>1427</v>
      </c>
      <c r="B25" s="2" t="s">
        <v>89</v>
      </c>
      <c r="C25" s="2" t="s">
        <v>39</v>
      </c>
      <c r="D25" s="2" t="s">
        <v>16</v>
      </c>
      <c r="E25" s="2">
        <v>1000</v>
      </c>
      <c r="F25" s="2" t="s">
        <v>24</v>
      </c>
      <c r="G25" s="8" t="s">
        <v>90</v>
      </c>
      <c r="H25" s="4"/>
      <c r="I25" s="32">
        <f>(J25*$J$1)+J25</f>
        <v>0.67</v>
      </c>
      <c r="J25" s="35">
        <v>0.67</v>
      </c>
    </row>
    <row r="26" spans="1:10" ht="15.75" thickBot="1" x14ac:dyDescent="0.3">
      <c r="A26" s="1">
        <v>155</v>
      </c>
      <c r="B26" s="2" t="s">
        <v>42</v>
      </c>
      <c r="C26" s="2" t="s">
        <v>43</v>
      </c>
      <c r="D26" s="7"/>
      <c r="E26" s="2">
        <v>12</v>
      </c>
      <c r="F26" s="2" t="s">
        <v>44</v>
      </c>
      <c r="G26" s="6" t="s">
        <v>25</v>
      </c>
      <c r="H26" s="4" t="s">
        <v>45</v>
      </c>
      <c r="I26" s="32">
        <f>(J26*$J$1)+J26</f>
        <v>52.47</v>
      </c>
      <c r="J26" s="32">
        <v>52.47</v>
      </c>
    </row>
    <row r="27" spans="1:10" ht="15.75" thickBot="1" x14ac:dyDescent="0.3">
      <c r="A27" s="1">
        <v>158</v>
      </c>
      <c r="B27" s="2" t="s">
        <v>46</v>
      </c>
      <c r="C27" s="2" t="s">
        <v>92</v>
      </c>
      <c r="D27" s="2"/>
      <c r="E27" s="2">
        <v>150</v>
      </c>
      <c r="F27" s="2" t="s">
        <v>44</v>
      </c>
      <c r="G27" s="6" t="s">
        <v>25</v>
      </c>
      <c r="H27" s="4" t="s">
        <v>48</v>
      </c>
      <c r="I27" s="32">
        <f>(J27*$J$1)+J27</f>
        <v>5.9</v>
      </c>
      <c r="J27" s="32">
        <v>5.9</v>
      </c>
    </row>
    <row r="28" spans="1:10" ht="15.75" thickBot="1" x14ac:dyDescent="0.3">
      <c r="A28" s="1">
        <v>157</v>
      </c>
      <c r="B28" s="2" t="s">
        <v>46</v>
      </c>
      <c r="C28" s="2" t="s">
        <v>93</v>
      </c>
      <c r="D28" s="2"/>
      <c r="E28" s="2">
        <v>300</v>
      </c>
      <c r="F28" s="2" t="s">
        <v>44</v>
      </c>
      <c r="G28" s="6" t="s">
        <v>25</v>
      </c>
      <c r="H28" s="4" t="s">
        <v>48</v>
      </c>
      <c r="I28" s="32">
        <f>(J28*$J$1)+J28</f>
        <v>2.97</v>
      </c>
      <c r="J28" s="32">
        <v>2.97</v>
      </c>
    </row>
    <row r="29" spans="1:10" ht="15.75" thickBot="1" x14ac:dyDescent="0.3">
      <c r="A29" s="11">
        <v>163</v>
      </c>
      <c r="B29" s="12" t="s">
        <v>50</v>
      </c>
      <c r="C29" s="12" t="s">
        <v>51</v>
      </c>
      <c r="D29" s="12" t="s">
        <v>52</v>
      </c>
      <c r="E29" s="12" t="s">
        <v>53</v>
      </c>
      <c r="F29" s="12" t="s">
        <v>70</v>
      </c>
      <c r="G29" s="12" t="s">
        <v>9</v>
      </c>
      <c r="H29" s="13" t="s">
        <v>25</v>
      </c>
      <c r="I29" s="37">
        <f>(J29*$J$1)+J29</f>
        <v>4.21</v>
      </c>
      <c r="J29" s="37">
        <v>4.21</v>
      </c>
    </row>
    <row r="30" spans="1:10" x14ac:dyDescent="0.25">
      <c r="A30" s="11">
        <v>480</v>
      </c>
      <c r="B30" s="12" t="s">
        <v>50</v>
      </c>
      <c r="C30" s="12" t="s">
        <v>54</v>
      </c>
      <c r="D30" s="12" t="s">
        <v>52</v>
      </c>
      <c r="E30" s="15" t="s">
        <v>53</v>
      </c>
      <c r="F30" s="12" t="s">
        <v>70</v>
      </c>
      <c r="G30" s="12" t="s">
        <v>9</v>
      </c>
      <c r="H30" s="13" t="s">
        <v>25</v>
      </c>
      <c r="I30" s="37">
        <f>(J30*$J$1)+J30</f>
        <v>5.2</v>
      </c>
      <c r="J30" s="37">
        <v>5.2</v>
      </c>
    </row>
    <row r="31" spans="1:10" x14ac:dyDescent="0.25">
      <c r="A31" s="11">
        <v>164</v>
      </c>
      <c r="B31" s="12" t="s">
        <v>50</v>
      </c>
      <c r="C31" s="12" t="s">
        <v>55</v>
      </c>
      <c r="D31" s="12" t="s">
        <v>52</v>
      </c>
      <c r="E31" s="15" t="s">
        <v>53</v>
      </c>
      <c r="F31" s="12" t="s">
        <v>56</v>
      </c>
      <c r="G31" s="12" t="s">
        <v>9</v>
      </c>
      <c r="H31" s="13" t="s">
        <v>25</v>
      </c>
      <c r="I31" s="37">
        <f>(J31*$J$1)+J31</f>
        <v>5.96</v>
      </c>
      <c r="J31" s="37">
        <v>5.96</v>
      </c>
    </row>
    <row r="32" spans="1:10" x14ac:dyDescent="0.25">
      <c r="A32" s="11">
        <v>165</v>
      </c>
      <c r="B32" s="12" t="s">
        <v>50</v>
      </c>
      <c r="C32" s="12" t="s">
        <v>57</v>
      </c>
      <c r="D32" s="12" t="s">
        <v>52</v>
      </c>
      <c r="E32" s="15" t="s">
        <v>53</v>
      </c>
      <c r="F32" s="12" t="s">
        <v>67</v>
      </c>
      <c r="G32" s="12" t="s">
        <v>9</v>
      </c>
      <c r="H32" s="13" t="s">
        <v>25</v>
      </c>
      <c r="I32" s="37">
        <f>(J32*$J$1)+J32</f>
        <v>7.68</v>
      </c>
      <c r="J32" s="37">
        <v>7.68</v>
      </c>
    </row>
    <row r="33" spans="1:10" x14ac:dyDescent="0.25">
      <c r="A33" s="11">
        <v>166</v>
      </c>
      <c r="B33" s="12" t="s">
        <v>50</v>
      </c>
      <c r="C33" s="12" t="s">
        <v>59</v>
      </c>
      <c r="D33" s="12" t="s">
        <v>52</v>
      </c>
      <c r="E33" s="15" t="s">
        <v>53</v>
      </c>
      <c r="F33" s="12" t="s">
        <v>60</v>
      </c>
      <c r="G33" s="12" t="s">
        <v>9</v>
      </c>
      <c r="H33" s="13" t="s">
        <v>25</v>
      </c>
      <c r="I33" s="37">
        <f>(J33*$J$1)+J33</f>
        <v>11.38</v>
      </c>
      <c r="J33" s="37">
        <v>11.38</v>
      </c>
    </row>
    <row r="34" spans="1:10" x14ac:dyDescent="0.25">
      <c r="A34" s="11">
        <v>171</v>
      </c>
      <c r="B34" s="12" t="s">
        <v>50</v>
      </c>
      <c r="C34" s="12" t="s">
        <v>61</v>
      </c>
      <c r="D34" s="12" t="s">
        <v>52</v>
      </c>
      <c r="E34" s="15" t="s">
        <v>53</v>
      </c>
      <c r="F34" s="12" t="s">
        <v>62</v>
      </c>
      <c r="G34" s="12" t="s">
        <v>9</v>
      </c>
      <c r="H34" s="13" t="s">
        <v>25</v>
      </c>
      <c r="I34" s="37">
        <f>(J34*$J$1)+J34</f>
        <v>5.7</v>
      </c>
      <c r="J34" s="37">
        <v>5.7</v>
      </c>
    </row>
    <row r="35" spans="1:10" x14ac:dyDescent="0.25">
      <c r="A35" s="11">
        <v>478</v>
      </c>
      <c r="B35" s="12" t="s">
        <v>50</v>
      </c>
      <c r="C35" s="12" t="s">
        <v>63</v>
      </c>
      <c r="D35" s="12" t="s">
        <v>52</v>
      </c>
      <c r="E35" s="15" t="s">
        <v>53</v>
      </c>
      <c r="F35" s="12" t="s">
        <v>56</v>
      </c>
      <c r="G35" s="12" t="s">
        <v>9</v>
      </c>
      <c r="H35" s="13" t="s">
        <v>25</v>
      </c>
      <c r="I35" s="37">
        <f>(J35*$J$1)+J35</f>
        <v>7.19</v>
      </c>
      <c r="J35" s="37">
        <v>7.19</v>
      </c>
    </row>
    <row r="36" spans="1:10" x14ac:dyDescent="0.25">
      <c r="A36" s="11">
        <v>172</v>
      </c>
      <c r="B36" s="12" t="s">
        <v>50</v>
      </c>
      <c r="C36" s="12" t="s">
        <v>64</v>
      </c>
      <c r="D36" s="12" t="s">
        <v>52</v>
      </c>
      <c r="E36" s="15" t="s">
        <v>53</v>
      </c>
      <c r="F36" s="12" t="s">
        <v>65</v>
      </c>
      <c r="G36" s="12" t="s">
        <v>9</v>
      </c>
      <c r="H36" s="13" t="s">
        <v>25</v>
      </c>
      <c r="I36" s="37">
        <f>(J36*$J$1)+J36</f>
        <v>8.41</v>
      </c>
      <c r="J36" s="37">
        <v>8.41</v>
      </c>
    </row>
    <row r="37" spans="1:10" x14ac:dyDescent="0.25">
      <c r="A37" s="16">
        <v>173</v>
      </c>
      <c r="B37" s="17" t="s">
        <v>50</v>
      </c>
      <c r="C37" s="17" t="s">
        <v>66</v>
      </c>
      <c r="D37" s="17" t="s">
        <v>52</v>
      </c>
      <c r="E37" s="18" t="s">
        <v>53</v>
      </c>
      <c r="F37" s="17" t="s">
        <v>73</v>
      </c>
      <c r="G37" s="17" t="s">
        <v>9</v>
      </c>
      <c r="H37" s="19" t="s">
        <v>25</v>
      </c>
      <c r="I37" s="38">
        <f>(J37*$J$1)+J37</f>
        <v>10.92</v>
      </c>
      <c r="J37" s="38">
        <v>10.92</v>
      </c>
    </row>
    <row r="38" spans="1:10" x14ac:dyDescent="0.25">
      <c r="A38" s="21">
        <v>174</v>
      </c>
      <c r="B38" s="22" t="s">
        <v>50</v>
      </c>
      <c r="C38" s="22" t="s">
        <v>68</v>
      </c>
      <c r="D38" s="22" t="s">
        <v>52</v>
      </c>
      <c r="E38" s="23" t="s">
        <v>53</v>
      </c>
      <c r="F38" s="22" t="s">
        <v>69</v>
      </c>
      <c r="G38" s="22" t="s">
        <v>9</v>
      </c>
      <c r="H38" s="6" t="s">
        <v>25</v>
      </c>
      <c r="I38" s="39">
        <f>(J38*$J$1)+J38</f>
        <v>15.63</v>
      </c>
      <c r="J38" s="39">
        <v>15.63</v>
      </c>
    </row>
    <row r="39" spans="1:10" x14ac:dyDescent="0.25">
      <c r="A39" s="11">
        <v>159</v>
      </c>
      <c r="B39" s="12" t="s">
        <v>50</v>
      </c>
      <c r="C39" s="12" t="s">
        <v>51</v>
      </c>
      <c r="D39" s="12" t="s">
        <v>52</v>
      </c>
      <c r="E39" s="15" t="s">
        <v>53</v>
      </c>
      <c r="F39" s="12" t="s">
        <v>70</v>
      </c>
      <c r="G39" s="12" t="s">
        <v>24</v>
      </c>
      <c r="H39" s="13" t="s">
        <v>25</v>
      </c>
      <c r="I39" s="37">
        <f>(J39*$J$1)+J39</f>
        <v>4.92</v>
      </c>
      <c r="J39" s="37">
        <v>4.92</v>
      </c>
    </row>
    <row r="40" spans="1:10" x14ac:dyDescent="0.25">
      <c r="A40" s="11">
        <v>481</v>
      </c>
      <c r="B40" s="12" t="s">
        <v>50</v>
      </c>
      <c r="C40" s="12" t="s">
        <v>54</v>
      </c>
      <c r="D40" s="12" t="s">
        <v>52</v>
      </c>
      <c r="E40" s="15" t="s">
        <v>53</v>
      </c>
      <c r="F40" s="12" t="s">
        <v>71</v>
      </c>
      <c r="G40" s="12" t="s">
        <v>24</v>
      </c>
      <c r="H40" s="13" t="s">
        <v>25</v>
      </c>
      <c r="I40" s="37">
        <f>(J40*$J$1)+J40</f>
        <v>6.08</v>
      </c>
      <c r="J40" s="37">
        <v>6.08</v>
      </c>
    </row>
    <row r="41" spans="1:10" x14ac:dyDescent="0.25">
      <c r="A41" s="11">
        <v>160</v>
      </c>
      <c r="B41" s="12" t="s">
        <v>50</v>
      </c>
      <c r="C41" s="12" t="s">
        <v>55</v>
      </c>
      <c r="D41" s="12" t="s">
        <v>52</v>
      </c>
      <c r="E41" s="15" t="s">
        <v>53</v>
      </c>
      <c r="F41" s="12" t="s">
        <v>58</v>
      </c>
      <c r="G41" s="12" t="s">
        <v>24</v>
      </c>
      <c r="H41" s="13" t="s">
        <v>25</v>
      </c>
      <c r="I41" s="37">
        <f>(J41*$J$1)+J41</f>
        <v>6.96</v>
      </c>
      <c r="J41" s="37">
        <v>6.96</v>
      </c>
    </row>
    <row r="42" spans="1:10" x14ac:dyDescent="0.25">
      <c r="A42" s="11">
        <v>161</v>
      </c>
      <c r="B42" s="12" t="s">
        <v>50</v>
      </c>
      <c r="C42" s="12" t="s">
        <v>57</v>
      </c>
      <c r="D42" s="12" t="s">
        <v>52</v>
      </c>
      <c r="E42" s="15" t="s">
        <v>53</v>
      </c>
      <c r="F42" s="12" t="s">
        <v>67</v>
      </c>
      <c r="G42" s="12" t="s">
        <v>24</v>
      </c>
      <c r="H42" s="13" t="s">
        <v>25</v>
      </c>
      <c r="I42" s="37">
        <f>(J42*$J$1)+J42</f>
        <v>8.9600000000000009</v>
      </c>
      <c r="J42" s="37">
        <v>8.9600000000000009</v>
      </c>
    </row>
    <row r="43" spans="1:10" x14ac:dyDescent="0.25">
      <c r="A43" s="11">
        <v>162</v>
      </c>
      <c r="B43" s="12" t="s">
        <v>50</v>
      </c>
      <c r="C43" s="12" t="s">
        <v>59</v>
      </c>
      <c r="D43" s="12" t="s">
        <v>52</v>
      </c>
      <c r="E43" s="15" t="s">
        <v>53</v>
      </c>
      <c r="F43" s="12" t="s">
        <v>72</v>
      </c>
      <c r="G43" s="12" t="s">
        <v>24</v>
      </c>
      <c r="H43" s="13" t="s">
        <v>25</v>
      </c>
      <c r="I43" s="37">
        <f>(J43*$J$1)+J43</f>
        <v>13.33</v>
      </c>
      <c r="J43" s="37">
        <v>13.33</v>
      </c>
    </row>
    <row r="44" spans="1:10" x14ac:dyDescent="0.25">
      <c r="A44" s="11">
        <v>167</v>
      </c>
      <c r="B44" s="12" t="s">
        <v>50</v>
      </c>
      <c r="C44" s="12" t="s">
        <v>61</v>
      </c>
      <c r="D44" s="12" t="s">
        <v>52</v>
      </c>
      <c r="E44" s="15" t="s">
        <v>53</v>
      </c>
      <c r="F44" s="12" t="s">
        <v>56</v>
      </c>
      <c r="G44" s="12" t="s">
        <v>24</v>
      </c>
      <c r="H44" s="13" t="s">
        <v>25</v>
      </c>
      <c r="I44" s="37">
        <f>(J44*$J$1)+J44</f>
        <v>6.79</v>
      </c>
      <c r="J44" s="37">
        <v>6.79</v>
      </c>
    </row>
    <row r="45" spans="1:10" x14ac:dyDescent="0.25">
      <c r="A45" s="11">
        <v>479</v>
      </c>
      <c r="B45" s="12" t="s">
        <v>50</v>
      </c>
      <c r="C45" s="12" t="s">
        <v>63</v>
      </c>
      <c r="D45" s="12" t="s">
        <v>52</v>
      </c>
      <c r="E45" s="15" t="s">
        <v>53</v>
      </c>
      <c r="F45" s="12" t="s">
        <v>58</v>
      </c>
      <c r="G45" s="12" t="s">
        <v>24</v>
      </c>
      <c r="H45" s="13" t="s">
        <v>25</v>
      </c>
      <c r="I45" s="37">
        <f>(J45*$J$1)+J45</f>
        <v>8.39</v>
      </c>
      <c r="J45" s="37">
        <v>8.39</v>
      </c>
    </row>
    <row r="46" spans="1:10" x14ac:dyDescent="0.25">
      <c r="A46" s="11">
        <v>168</v>
      </c>
      <c r="B46" s="12" t="s">
        <v>50</v>
      </c>
      <c r="C46" s="12" t="s">
        <v>64</v>
      </c>
      <c r="D46" s="12" t="s">
        <v>52</v>
      </c>
      <c r="E46" s="15" t="s">
        <v>53</v>
      </c>
      <c r="F46" s="12" t="s">
        <v>67</v>
      </c>
      <c r="G46" s="12" t="s">
        <v>24</v>
      </c>
      <c r="H46" s="13" t="s">
        <v>25</v>
      </c>
      <c r="I46" s="37">
        <f>(J46*$J$1)+J46</f>
        <v>9.93</v>
      </c>
      <c r="J46" s="37">
        <v>9.93</v>
      </c>
    </row>
    <row r="47" spans="1:10" x14ac:dyDescent="0.25">
      <c r="A47" s="11">
        <v>169</v>
      </c>
      <c r="B47" s="12" t="s">
        <v>50</v>
      </c>
      <c r="C47" s="12" t="s">
        <v>66</v>
      </c>
      <c r="D47" s="12" t="s">
        <v>52</v>
      </c>
      <c r="E47" s="15" t="s">
        <v>53</v>
      </c>
      <c r="F47" s="12" t="s">
        <v>73</v>
      </c>
      <c r="G47" s="12" t="s">
        <v>24</v>
      </c>
      <c r="H47" s="13" t="s">
        <v>25</v>
      </c>
      <c r="I47" s="37">
        <f>(J47*$J$1)+J47</f>
        <v>12.75</v>
      </c>
      <c r="J47" s="37">
        <v>12.75</v>
      </c>
    </row>
    <row r="48" spans="1:10" ht="15.75" thickBot="1" x14ac:dyDescent="0.3">
      <c r="A48" s="11">
        <v>170</v>
      </c>
      <c r="B48" s="12" t="s">
        <v>50</v>
      </c>
      <c r="C48" s="12" t="s">
        <v>68</v>
      </c>
      <c r="D48" s="12" t="s">
        <v>52</v>
      </c>
      <c r="E48" s="15" t="s">
        <v>53</v>
      </c>
      <c r="F48" s="12" t="s">
        <v>74</v>
      </c>
      <c r="G48" s="12" t="s">
        <v>24</v>
      </c>
      <c r="H48" s="13" t="s">
        <v>25</v>
      </c>
      <c r="I48" s="37">
        <f>(J48*$J$1)+J48</f>
        <v>18.38</v>
      </c>
      <c r="J48" s="37">
        <v>18.38</v>
      </c>
    </row>
    <row r="49" spans="1:10" ht="15.75" thickBot="1" x14ac:dyDescent="0.3">
      <c r="A49" s="11">
        <v>414</v>
      </c>
      <c r="B49" s="12" t="s">
        <v>50</v>
      </c>
      <c r="C49" s="12" t="s">
        <v>51</v>
      </c>
      <c r="D49" s="12" t="s">
        <v>52</v>
      </c>
      <c r="E49" s="12" t="s">
        <v>75</v>
      </c>
      <c r="F49" s="12" t="s">
        <v>70</v>
      </c>
      <c r="G49" s="12" t="s">
        <v>9</v>
      </c>
      <c r="H49" s="13" t="s">
        <v>25</v>
      </c>
      <c r="I49" s="37">
        <f>(J49*$J$1)+J49</f>
        <v>4.08</v>
      </c>
      <c r="J49" s="37">
        <v>4.08</v>
      </c>
    </row>
    <row r="50" spans="1:10" x14ac:dyDescent="0.25">
      <c r="A50" s="11">
        <v>476</v>
      </c>
      <c r="B50" s="12" t="s">
        <v>50</v>
      </c>
      <c r="C50" s="12" t="s">
        <v>54</v>
      </c>
      <c r="D50" s="12" t="s">
        <v>52</v>
      </c>
      <c r="E50" s="15" t="s">
        <v>75</v>
      </c>
      <c r="F50" s="12" t="s">
        <v>94</v>
      </c>
      <c r="G50" s="12" t="s">
        <v>9</v>
      </c>
      <c r="H50" s="13" t="s">
        <v>25</v>
      </c>
      <c r="I50" s="37">
        <f>(J50*$J$1)+J50</f>
        <v>5.04</v>
      </c>
      <c r="J50" s="37">
        <v>5.04</v>
      </c>
    </row>
    <row r="51" spans="1:10" x14ac:dyDescent="0.25">
      <c r="A51" s="11">
        <v>419</v>
      </c>
      <c r="B51" s="12" t="s">
        <v>50</v>
      </c>
      <c r="C51" s="12" t="s">
        <v>55</v>
      </c>
      <c r="D51" s="12" t="s">
        <v>52</v>
      </c>
      <c r="E51" s="15" t="s">
        <v>75</v>
      </c>
      <c r="F51" s="12" t="s">
        <v>67</v>
      </c>
      <c r="G51" s="12" t="s">
        <v>9</v>
      </c>
      <c r="H51" s="13" t="s">
        <v>25</v>
      </c>
      <c r="I51" s="37">
        <f>(J51*$J$1)+J51</f>
        <v>5.8</v>
      </c>
      <c r="J51" s="37">
        <v>5.8</v>
      </c>
    </row>
    <row r="52" spans="1:10" x14ac:dyDescent="0.25">
      <c r="A52" s="11">
        <v>423</v>
      </c>
      <c r="B52" s="12" t="s">
        <v>50</v>
      </c>
      <c r="C52" s="12" t="s">
        <v>57</v>
      </c>
      <c r="D52" s="12" t="s">
        <v>52</v>
      </c>
      <c r="E52" s="15" t="s">
        <v>75</v>
      </c>
      <c r="F52" s="12" t="s">
        <v>76</v>
      </c>
      <c r="G52" s="12" t="s">
        <v>9</v>
      </c>
      <c r="H52" s="13" t="s">
        <v>25</v>
      </c>
      <c r="I52" s="37">
        <f>(J52*$J$1)+J52</f>
        <v>7.45</v>
      </c>
      <c r="J52" s="37">
        <v>7.45</v>
      </c>
    </row>
    <row r="53" spans="1:10" x14ac:dyDescent="0.25">
      <c r="A53" s="11">
        <v>427</v>
      </c>
      <c r="B53" s="12" t="s">
        <v>50</v>
      </c>
      <c r="C53" s="12" t="s">
        <v>59</v>
      </c>
      <c r="D53" s="12" t="s">
        <v>52</v>
      </c>
      <c r="E53" s="15" t="s">
        <v>75</v>
      </c>
      <c r="F53" s="12" t="s">
        <v>77</v>
      </c>
      <c r="G53" s="12" t="s">
        <v>9</v>
      </c>
      <c r="H53" s="13" t="s">
        <v>25</v>
      </c>
      <c r="I53" s="37">
        <f>(J53*$J$1)+J53</f>
        <v>11.04</v>
      </c>
      <c r="J53" s="37">
        <v>11.04</v>
      </c>
    </row>
    <row r="54" spans="1:10" x14ac:dyDescent="0.25">
      <c r="A54" s="11">
        <v>417</v>
      </c>
      <c r="B54" s="12" t="s">
        <v>50</v>
      </c>
      <c r="C54" s="12" t="s">
        <v>61</v>
      </c>
      <c r="D54" s="12" t="s">
        <v>52</v>
      </c>
      <c r="E54" s="15" t="s">
        <v>75</v>
      </c>
      <c r="F54" s="12" t="s">
        <v>78</v>
      </c>
      <c r="G54" s="12" t="s">
        <v>9</v>
      </c>
      <c r="H54" s="13" t="s">
        <v>25</v>
      </c>
      <c r="I54" s="37">
        <f>(J54*$J$1)+J54</f>
        <v>5.52</v>
      </c>
      <c r="J54" s="37">
        <v>5.52</v>
      </c>
    </row>
    <row r="55" spans="1:10" x14ac:dyDescent="0.25">
      <c r="A55" s="11">
        <v>474</v>
      </c>
      <c r="B55" s="12" t="s">
        <v>50</v>
      </c>
      <c r="C55" s="12" t="s">
        <v>63</v>
      </c>
      <c r="D55" s="12" t="s">
        <v>52</v>
      </c>
      <c r="E55" s="15" t="s">
        <v>75</v>
      </c>
      <c r="F55" s="12" t="s">
        <v>67</v>
      </c>
      <c r="G55" s="12" t="s">
        <v>9</v>
      </c>
      <c r="H55" s="13" t="s">
        <v>25</v>
      </c>
      <c r="I55" s="37">
        <f>(J55*$J$1)+J55</f>
        <v>6.97</v>
      </c>
      <c r="J55" s="37">
        <v>6.97</v>
      </c>
    </row>
    <row r="56" spans="1:10" x14ac:dyDescent="0.25">
      <c r="A56" s="11">
        <v>421</v>
      </c>
      <c r="B56" s="12" t="s">
        <v>50</v>
      </c>
      <c r="C56" s="12" t="s">
        <v>64</v>
      </c>
      <c r="D56" s="12" t="s">
        <v>52</v>
      </c>
      <c r="E56" s="15" t="s">
        <v>75</v>
      </c>
      <c r="F56" s="12" t="s">
        <v>73</v>
      </c>
      <c r="G56" s="12" t="s">
        <v>9</v>
      </c>
      <c r="H56" s="13" t="s">
        <v>25</v>
      </c>
      <c r="I56" s="37">
        <f>(J56*$J$1)+J56</f>
        <v>8.16</v>
      </c>
      <c r="J56" s="37">
        <v>8.16</v>
      </c>
    </row>
    <row r="57" spans="1:10" x14ac:dyDescent="0.25">
      <c r="A57" s="16">
        <v>425</v>
      </c>
      <c r="B57" s="17" t="s">
        <v>50</v>
      </c>
      <c r="C57" s="17" t="s">
        <v>66</v>
      </c>
      <c r="D57" s="17" t="s">
        <v>52</v>
      </c>
      <c r="E57" s="18" t="s">
        <v>75</v>
      </c>
      <c r="F57" s="17" t="s">
        <v>79</v>
      </c>
      <c r="G57" s="17" t="s">
        <v>9</v>
      </c>
      <c r="H57" s="19" t="s">
        <v>25</v>
      </c>
      <c r="I57" s="38">
        <f>(J57*$J$1)+J57</f>
        <v>10.59</v>
      </c>
      <c r="J57" s="38">
        <v>10.59</v>
      </c>
    </row>
    <row r="58" spans="1:10" x14ac:dyDescent="0.25">
      <c r="A58" s="21">
        <v>429</v>
      </c>
      <c r="B58" s="22" t="s">
        <v>50</v>
      </c>
      <c r="C58" s="22" t="s">
        <v>68</v>
      </c>
      <c r="D58" s="22" t="s">
        <v>52</v>
      </c>
      <c r="E58" s="23" t="s">
        <v>75</v>
      </c>
      <c r="F58" s="22" t="s">
        <v>80</v>
      </c>
      <c r="G58" s="22" t="s">
        <v>9</v>
      </c>
      <c r="H58" s="6" t="s">
        <v>25</v>
      </c>
      <c r="I58" s="39">
        <f>(J58*$J$1)+J58</f>
        <v>15.16</v>
      </c>
      <c r="J58" s="39">
        <v>15.16</v>
      </c>
    </row>
    <row r="59" spans="1:10" x14ac:dyDescent="0.25">
      <c r="A59" s="11">
        <v>416</v>
      </c>
      <c r="B59" s="12" t="s">
        <v>50</v>
      </c>
      <c r="C59" s="12" t="s">
        <v>51</v>
      </c>
      <c r="D59" s="12" t="s">
        <v>52</v>
      </c>
      <c r="E59" s="15" t="s">
        <v>75</v>
      </c>
      <c r="F59" s="12" t="s">
        <v>62</v>
      </c>
      <c r="G59" s="12" t="s">
        <v>24</v>
      </c>
      <c r="H59" s="13" t="s">
        <v>25</v>
      </c>
      <c r="I59" s="37">
        <f>(J59*$J$1)+J59</f>
        <v>4.7699999999999996</v>
      </c>
      <c r="J59" s="37">
        <v>4.7699999999999996</v>
      </c>
    </row>
    <row r="60" spans="1:10" x14ac:dyDescent="0.25">
      <c r="A60" s="11">
        <v>477</v>
      </c>
      <c r="B60" s="12" t="s">
        <v>50</v>
      </c>
      <c r="C60" s="12" t="s">
        <v>54</v>
      </c>
      <c r="D60" s="12" t="s">
        <v>52</v>
      </c>
      <c r="E60" s="15" t="s">
        <v>75</v>
      </c>
      <c r="F60" s="12" t="s">
        <v>56</v>
      </c>
      <c r="G60" s="12" t="s">
        <v>24</v>
      </c>
      <c r="H60" s="13" t="s">
        <v>25</v>
      </c>
      <c r="I60" s="37">
        <f>(J60*$J$1)+J60</f>
        <v>5.9</v>
      </c>
      <c r="J60" s="37">
        <v>5.9</v>
      </c>
    </row>
    <row r="61" spans="1:10" x14ac:dyDescent="0.25">
      <c r="A61" s="11">
        <v>420</v>
      </c>
      <c r="B61" s="12" t="s">
        <v>50</v>
      </c>
      <c r="C61" s="12" t="s">
        <v>55</v>
      </c>
      <c r="D61" s="12" t="s">
        <v>52</v>
      </c>
      <c r="E61" s="15" t="s">
        <v>75</v>
      </c>
      <c r="F61" s="12" t="s">
        <v>81</v>
      </c>
      <c r="G61" s="12" t="s">
        <v>24</v>
      </c>
      <c r="H61" s="13" t="s">
        <v>25</v>
      </c>
      <c r="I61" s="37">
        <f>(J61*$J$1)+J61</f>
        <v>6.7</v>
      </c>
      <c r="J61" s="37">
        <v>6.7</v>
      </c>
    </row>
    <row r="62" spans="1:10" x14ac:dyDescent="0.25">
      <c r="A62" s="11">
        <v>424</v>
      </c>
      <c r="B62" s="12" t="s">
        <v>50</v>
      </c>
      <c r="C62" s="12" t="s">
        <v>57</v>
      </c>
      <c r="D62" s="12" t="s">
        <v>52</v>
      </c>
      <c r="E62" s="15" t="s">
        <v>75</v>
      </c>
      <c r="F62" s="12" t="s">
        <v>82</v>
      </c>
      <c r="G62" s="12" t="s">
        <v>24</v>
      </c>
      <c r="H62" s="13" t="s">
        <v>25</v>
      </c>
      <c r="I62" s="37">
        <f>(J62*$J$1)+J62</f>
        <v>8.68</v>
      </c>
      <c r="J62" s="37">
        <v>8.68</v>
      </c>
    </row>
    <row r="63" spans="1:10" x14ac:dyDescent="0.25">
      <c r="A63" s="11">
        <v>428</v>
      </c>
      <c r="B63" s="12" t="s">
        <v>50</v>
      </c>
      <c r="C63" s="12" t="s">
        <v>59</v>
      </c>
      <c r="D63" s="12" t="s">
        <v>52</v>
      </c>
      <c r="E63" s="15" t="s">
        <v>75</v>
      </c>
      <c r="F63" s="12" t="s">
        <v>83</v>
      </c>
      <c r="G63" s="12" t="s">
        <v>24</v>
      </c>
      <c r="H63" s="13" t="s">
        <v>25</v>
      </c>
      <c r="I63" s="37">
        <f>(J63*$J$1)+J63</f>
        <v>12.94</v>
      </c>
      <c r="J63" s="37">
        <v>12.94</v>
      </c>
    </row>
    <row r="64" spans="1:10" x14ac:dyDescent="0.25">
      <c r="A64" s="11">
        <v>418</v>
      </c>
      <c r="B64" s="12" t="s">
        <v>50</v>
      </c>
      <c r="C64" s="12" t="s">
        <v>61</v>
      </c>
      <c r="D64" s="12" t="s">
        <v>52</v>
      </c>
      <c r="E64" s="15" t="s">
        <v>75</v>
      </c>
      <c r="F64" s="12" t="s">
        <v>84</v>
      </c>
      <c r="G64" s="12" t="s">
        <v>24</v>
      </c>
      <c r="H64" s="13" t="s">
        <v>25</v>
      </c>
      <c r="I64" s="37">
        <f>(J64*$J$1)+J64</f>
        <v>6.6</v>
      </c>
      <c r="J64" s="37">
        <v>6.6</v>
      </c>
    </row>
    <row r="65" spans="1:10" x14ac:dyDescent="0.25">
      <c r="A65" s="11">
        <v>475</v>
      </c>
      <c r="B65" s="12" t="s">
        <v>50</v>
      </c>
      <c r="C65" s="12" t="s">
        <v>63</v>
      </c>
      <c r="D65" s="12" t="s">
        <v>52</v>
      </c>
      <c r="E65" s="15" t="s">
        <v>75</v>
      </c>
      <c r="F65" s="12" t="s">
        <v>73</v>
      </c>
      <c r="G65" s="12" t="s">
        <v>24</v>
      </c>
      <c r="H65" s="13" t="s">
        <v>25</v>
      </c>
      <c r="I65" s="37">
        <f>(J65*$J$1)+J65</f>
        <v>8.1300000000000008</v>
      </c>
      <c r="J65" s="37">
        <v>8.1300000000000008</v>
      </c>
    </row>
    <row r="66" spans="1:10" x14ac:dyDescent="0.25">
      <c r="A66" s="11">
        <v>422</v>
      </c>
      <c r="B66" s="12" t="s">
        <v>50</v>
      </c>
      <c r="C66" s="12" t="s">
        <v>64</v>
      </c>
      <c r="D66" s="12" t="s">
        <v>52</v>
      </c>
      <c r="E66" s="15" t="s">
        <v>75</v>
      </c>
      <c r="F66" s="12" t="s">
        <v>82</v>
      </c>
      <c r="G66" s="12" t="s">
        <v>24</v>
      </c>
      <c r="H66" s="13" t="s">
        <v>25</v>
      </c>
      <c r="I66" s="37">
        <f>(J66*$J$1)+J66</f>
        <v>9.6199999999999992</v>
      </c>
      <c r="J66" s="37">
        <v>9.6199999999999992</v>
      </c>
    </row>
    <row r="67" spans="1:10" x14ac:dyDescent="0.25">
      <c r="A67" s="11">
        <v>426</v>
      </c>
      <c r="B67" s="12" t="s">
        <v>50</v>
      </c>
      <c r="C67" s="12" t="s">
        <v>66</v>
      </c>
      <c r="D67" s="12" t="s">
        <v>52</v>
      </c>
      <c r="E67" s="15" t="s">
        <v>75</v>
      </c>
      <c r="F67" s="12" t="s">
        <v>85</v>
      </c>
      <c r="G67" s="12" t="s">
        <v>24</v>
      </c>
      <c r="H67" s="13" t="s">
        <v>25</v>
      </c>
      <c r="I67" s="37">
        <f>(J67*$J$1)+J67</f>
        <v>12.37</v>
      </c>
      <c r="J67" s="37">
        <v>12.37</v>
      </c>
    </row>
    <row r="68" spans="1:10" ht="15.75" thickBot="1" x14ac:dyDescent="0.3">
      <c r="A68" s="11">
        <v>430</v>
      </c>
      <c r="B68" s="12" t="s">
        <v>50</v>
      </c>
      <c r="C68" s="12" t="s">
        <v>68</v>
      </c>
      <c r="D68" s="12" t="s">
        <v>52</v>
      </c>
      <c r="E68" s="15" t="s">
        <v>75</v>
      </c>
      <c r="F68" s="12" t="s">
        <v>86</v>
      </c>
      <c r="G68" s="12" t="s">
        <v>24</v>
      </c>
      <c r="H68" s="13" t="s">
        <v>25</v>
      </c>
      <c r="I68" s="37">
        <f>(J68*$J$1)+J68</f>
        <v>17.84</v>
      </c>
      <c r="J68" s="37">
        <v>17.84</v>
      </c>
    </row>
  </sheetData>
  <pageMargins left="0.70866141732283472" right="0.70866141732283472" top="0.74803149606299213" bottom="0.74803149606299213" header="0.31496062992125984" footer="0.31496062992125984"/>
  <pageSetup paperSize="9" scale="73" fitToHeight="0" orientation="portrait" r:id="rId1"/>
  <headerFooter>
    <oddFooter>&amp;C&amp;G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3B7CB-CCC4-457F-9593-AE150226F233}">
  <sheetPr>
    <pageSetUpPr fitToPage="1"/>
  </sheetPr>
  <dimension ref="A1:J68"/>
  <sheetViews>
    <sheetView showGridLines="0" tabSelected="1" workbookViewId="0">
      <selection activeCell="K9" sqref="K9"/>
    </sheetView>
  </sheetViews>
  <sheetFormatPr defaultColWidth="52.42578125" defaultRowHeight="15" x14ac:dyDescent="0.25"/>
  <cols>
    <col min="1" max="1" width="8.5703125" customWidth="1"/>
    <col min="2" max="2" width="32.140625" bestFit="1" customWidth="1"/>
    <col min="3" max="3" width="15.140625" bestFit="1" customWidth="1"/>
    <col min="4" max="4" width="6.5703125" bestFit="1" customWidth="1"/>
    <col min="5" max="5" width="12.28515625" bestFit="1" customWidth="1"/>
    <col min="6" max="6" width="17.7109375" style="25" customWidth="1"/>
    <col min="7" max="8" width="9" style="25" bestFit="1" customWidth="1"/>
    <col min="9" max="9" width="8.28515625" style="36" bestFit="1" customWidth="1"/>
    <col min="10" max="10" width="7.140625" hidden="1" customWidth="1"/>
  </cols>
  <sheetData>
    <row r="1" spans="1:10" x14ac:dyDescent="0.25">
      <c r="A1" s="54" t="s">
        <v>100</v>
      </c>
      <c r="B1" s="48" t="s">
        <v>1</v>
      </c>
      <c r="C1" s="48" t="s">
        <v>96</v>
      </c>
      <c r="D1" s="50" t="s">
        <v>97</v>
      </c>
      <c r="E1" s="48" t="s">
        <v>98</v>
      </c>
      <c r="F1" s="48" t="s">
        <v>91</v>
      </c>
      <c r="G1" s="47" t="s">
        <v>4</v>
      </c>
      <c r="H1" s="47" t="s">
        <v>95</v>
      </c>
      <c r="I1" s="49" t="s">
        <v>99</v>
      </c>
      <c r="J1" s="46"/>
    </row>
    <row r="2" spans="1:10" ht="15.75" thickBot="1" x14ac:dyDescent="0.3">
      <c r="A2" s="1">
        <v>8</v>
      </c>
      <c r="B2" s="2" t="s">
        <v>6</v>
      </c>
      <c r="C2" s="2" t="s">
        <v>7</v>
      </c>
      <c r="D2" s="2" t="s">
        <v>8</v>
      </c>
      <c r="E2" s="2">
        <v>72</v>
      </c>
      <c r="F2" s="2" t="s">
        <v>9</v>
      </c>
      <c r="G2" s="3" t="s">
        <v>10</v>
      </c>
      <c r="H2" s="4" t="s">
        <v>11</v>
      </c>
      <c r="I2" s="32">
        <f t="shared" ref="I2:I33" si="0">(J2*$J$1)+J2</f>
        <v>7.85</v>
      </c>
      <c r="J2" s="5">
        <v>7.85</v>
      </c>
    </row>
    <row r="3" spans="1:10" ht="15.75" thickBot="1" x14ac:dyDescent="0.3">
      <c r="A3" s="1">
        <v>310</v>
      </c>
      <c r="B3" s="2" t="s">
        <v>6</v>
      </c>
      <c r="C3" s="2" t="s">
        <v>12</v>
      </c>
      <c r="D3" s="2" t="s">
        <v>13</v>
      </c>
      <c r="E3" s="2">
        <v>60</v>
      </c>
      <c r="F3" s="2" t="s">
        <v>9</v>
      </c>
      <c r="G3" s="3" t="s">
        <v>10</v>
      </c>
      <c r="H3" s="4" t="s">
        <v>14</v>
      </c>
      <c r="I3" s="32">
        <f t="shared" si="0"/>
        <v>11.53</v>
      </c>
      <c r="J3" s="5">
        <v>11.53</v>
      </c>
    </row>
    <row r="4" spans="1:10" ht="15.75" thickBot="1" x14ac:dyDescent="0.3">
      <c r="A4" s="1">
        <v>326</v>
      </c>
      <c r="B4" s="2" t="s">
        <v>6</v>
      </c>
      <c r="C4" s="2" t="s">
        <v>15</v>
      </c>
      <c r="D4" s="2" t="s">
        <v>16</v>
      </c>
      <c r="E4" s="2">
        <v>50</v>
      </c>
      <c r="F4" s="2" t="s">
        <v>9</v>
      </c>
      <c r="G4" s="3" t="s">
        <v>10</v>
      </c>
      <c r="H4" s="4" t="s">
        <v>17</v>
      </c>
      <c r="I4" s="32">
        <f t="shared" si="0"/>
        <v>13.31</v>
      </c>
      <c r="J4" s="5">
        <v>13.31</v>
      </c>
    </row>
    <row r="5" spans="1:10" ht="15.75" thickBot="1" x14ac:dyDescent="0.3">
      <c r="A5" s="1">
        <v>13</v>
      </c>
      <c r="B5" s="2" t="s">
        <v>6</v>
      </c>
      <c r="C5" s="2" t="s">
        <v>15</v>
      </c>
      <c r="D5" s="2" t="s">
        <v>8</v>
      </c>
      <c r="E5" s="2">
        <v>50</v>
      </c>
      <c r="F5" s="2" t="s">
        <v>18</v>
      </c>
      <c r="G5" s="3" t="s">
        <v>10</v>
      </c>
      <c r="H5" s="4" t="s">
        <v>17</v>
      </c>
      <c r="I5" s="32">
        <f t="shared" si="0"/>
        <v>12.86</v>
      </c>
      <c r="J5" s="5">
        <v>12.86</v>
      </c>
    </row>
    <row r="6" spans="1:10" ht="15.75" thickBot="1" x14ac:dyDescent="0.3">
      <c r="A6" s="1">
        <v>313</v>
      </c>
      <c r="B6" s="2" t="s">
        <v>6</v>
      </c>
      <c r="C6" s="2" t="s">
        <v>19</v>
      </c>
      <c r="D6" s="2" t="s">
        <v>13</v>
      </c>
      <c r="E6" s="2">
        <v>50</v>
      </c>
      <c r="F6" s="2" t="s">
        <v>18</v>
      </c>
      <c r="G6" s="3" t="s">
        <v>10</v>
      </c>
      <c r="H6" s="4" t="s">
        <v>20</v>
      </c>
      <c r="I6" s="32">
        <f t="shared" si="0"/>
        <v>14.2</v>
      </c>
      <c r="J6" s="5">
        <v>14.2</v>
      </c>
    </row>
    <row r="7" spans="1:10" ht="15.75" thickBot="1" x14ac:dyDescent="0.3">
      <c r="A7" s="1">
        <v>329</v>
      </c>
      <c r="B7" s="2" t="s">
        <v>6</v>
      </c>
      <c r="C7" s="2" t="s">
        <v>21</v>
      </c>
      <c r="D7" s="2" t="s">
        <v>16</v>
      </c>
      <c r="E7" s="2">
        <v>50</v>
      </c>
      <c r="F7" s="2" t="s">
        <v>18</v>
      </c>
      <c r="G7" s="3" t="s">
        <v>10</v>
      </c>
      <c r="H7" s="4" t="s">
        <v>22</v>
      </c>
      <c r="I7" s="32">
        <f t="shared" si="0"/>
        <v>15.97</v>
      </c>
      <c r="J7" s="5">
        <v>15.97</v>
      </c>
    </row>
    <row r="8" spans="1:10" ht="15.75" thickBot="1" x14ac:dyDescent="0.3">
      <c r="A8" s="1">
        <v>51</v>
      </c>
      <c r="B8" s="2" t="s">
        <v>6</v>
      </c>
      <c r="C8" s="2" t="s">
        <v>23</v>
      </c>
      <c r="D8" s="2" t="s">
        <v>8</v>
      </c>
      <c r="E8" s="2">
        <v>40</v>
      </c>
      <c r="F8" s="2" t="s">
        <v>24</v>
      </c>
      <c r="G8" s="6" t="s">
        <v>25</v>
      </c>
      <c r="H8" s="4" t="s">
        <v>26</v>
      </c>
      <c r="I8" s="32">
        <f t="shared" si="0"/>
        <v>20.04</v>
      </c>
      <c r="J8" s="5">
        <v>20.04</v>
      </c>
    </row>
    <row r="9" spans="1:10" ht="15.75" thickBot="1" x14ac:dyDescent="0.3">
      <c r="A9" s="1">
        <v>339</v>
      </c>
      <c r="B9" s="2" t="s">
        <v>6</v>
      </c>
      <c r="C9" s="2" t="s">
        <v>23</v>
      </c>
      <c r="D9" s="2" t="s">
        <v>13</v>
      </c>
      <c r="E9" s="2">
        <v>32</v>
      </c>
      <c r="F9" s="2" t="s">
        <v>24</v>
      </c>
      <c r="G9" s="6" t="s">
        <v>25</v>
      </c>
      <c r="H9" s="4" t="s">
        <v>26</v>
      </c>
      <c r="I9" s="32">
        <f t="shared" si="0"/>
        <v>21.59</v>
      </c>
      <c r="J9" s="5">
        <v>21.59</v>
      </c>
    </row>
    <row r="10" spans="1:10" ht="15.75" thickBot="1" x14ac:dyDescent="0.3">
      <c r="A10" s="1">
        <v>349</v>
      </c>
      <c r="B10" s="2" t="s">
        <v>6</v>
      </c>
      <c r="C10" s="2" t="s">
        <v>23</v>
      </c>
      <c r="D10" s="2" t="s">
        <v>16</v>
      </c>
      <c r="E10" s="2">
        <v>32</v>
      </c>
      <c r="F10" s="2" t="s">
        <v>24</v>
      </c>
      <c r="G10" s="6" t="s">
        <v>25</v>
      </c>
      <c r="H10" s="4" t="s">
        <v>26</v>
      </c>
      <c r="I10" s="32">
        <f t="shared" si="0"/>
        <v>24.09</v>
      </c>
      <c r="J10" s="5">
        <v>24.09</v>
      </c>
    </row>
    <row r="11" spans="1:10" ht="15.75" thickBot="1" x14ac:dyDescent="0.3">
      <c r="A11" s="1">
        <v>85</v>
      </c>
      <c r="B11" s="2" t="s">
        <v>27</v>
      </c>
      <c r="C11" s="2" t="s">
        <v>28</v>
      </c>
      <c r="D11" s="2" t="s">
        <v>8</v>
      </c>
      <c r="E11" s="2">
        <v>36</v>
      </c>
      <c r="F11" s="2" t="s">
        <v>9</v>
      </c>
      <c r="G11" s="3" t="s">
        <v>10</v>
      </c>
      <c r="H11" s="4" t="s">
        <v>29</v>
      </c>
      <c r="I11" s="32">
        <f t="shared" si="0"/>
        <v>17.96</v>
      </c>
      <c r="J11" s="5">
        <v>17.96</v>
      </c>
    </row>
    <row r="12" spans="1:10" ht="15.75" thickBot="1" x14ac:dyDescent="0.3">
      <c r="A12" s="1">
        <v>263</v>
      </c>
      <c r="B12" s="2" t="s">
        <v>27</v>
      </c>
      <c r="C12" s="2" t="s">
        <v>28</v>
      </c>
      <c r="D12" s="2" t="s">
        <v>13</v>
      </c>
      <c r="E12" s="2">
        <v>30</v>
      </c>
      <c r="F12" s="2" t="s">
        <v>9</v>
      </c>
      <c r="G12" s="3" t="s">
        <v>10</v>
      </c>
      <c r="H12" s="4" t="s">
        <v>30</v>
      </c>
      <c r="I12" s="32">
        <f t="shared" si="0"/>
        <v>22.12</v>
      </c>
      <c r="J12" s="5">
        <v>22.12</v>
      </c>
    </row>
    <row r="13" spans="1:10" ht="15.75" thickBot="1" x14ac:dyDescent="0.3">
      <c r="A13" s="1">
        <v>279</v>
      </c>
      <c r="B13" s="2" t="s">
        <v>27</v>
      </c>
      <c r="C13" s="2" t="s">
        <v>28</v>
      </c>
      <c r="D13" s="2" t="s">
        <v>16</v>
      </c>
      <c r="E13" s="2">
        <v>30</v>
      </c>
      <c r="F13" s="2" t="s">
        <v>9</v>
      </c>
      <c r="G13" s="3" t="s">
        <v>10</v>
      </c>
      <c r="H13" s="4" t="s">
        <v>31</v>
      </c>
      <c r="I13" s="32">
        <f t="shared" si="0"/>
        <v>23.97</v>
      </c>
      <c r="J13" s="5">
        <v>23.97</v>
      </c>
    </row>
    <row r="14" spans="1:10" ht="15.75" thickBot="1" x14ac:dyDescent="0.3">
      <c r="A14" s="1">
        <v>94</v>
      </c>
      <c r="B14" s="2" t="s">
        <v>27</v>
      </c>
      <c r="C14" s="2" t="s">
        <v>28</v>
      </c>
      <c r="D14" s="2" t="s">
        <v>8</v>
      </c>
      <c r="E14" s="2">
        <v>30</v>
      </c>
      <c r="F14" s="2" t="s">
        <v>18</v>
      </c>
      <c r="G14" s="3" t="s">
        <v>10</v>
      </c>
      <c r="H14" s="4" t="s">
        <v>32</v>
      </c>
      <c r="I14" s="32">
        <f t="shared" si="0"/>
        <v>25.62</v>
      </c>
      <c r="J14" s="5">
        <v>25.62</v>
      </c>
    </row>
    <row r="15" spans="1:10" x14ac:dyDescent="0.25">
      <c r="A15" s="1">
        <v>271</v>
      </c>
      <c r="B15" s="2" t="s">
        <v>27</v>
      </c>
      <c r="C15" s="2" t="s">
        <v>28</v>
      </c>
      <c r="D15" s="2" t="s">
        <v>13</v>
      </c>
      <c r="E15" s="2">
        <v>25</v>
      </c>
      <c r="F15" s="2" t="s">
        <v>18</v>
      </c>
      <c r="G15" s="3" t="s">
        <v>10</v>
      </c>
      <c r="H15" s="4" t="s">
        <v>33</v>
      </c>
      <c r="I15" s="32">
        <f t="shared" si="0"/>
        <v>27.95</v>
      </c>
      <c r="J15" s="5">
        <v>27.95</v>
      </c>
    </row>
    <row r="16" spans="1:10" ht="15.75" thickBot="1" x14ac:dyDescent="0.3">
      <c r="A16" s="1">
        <v>286</v>
      </c>
      <c r="B16" s="2" t="s">
        <v>27</v>
      </c>
      <c r="C16" s="2" t="s">
        <v>28</v>
      </c>
      <c r="D16" s="2" t="s">
        <v>16</v>
      </c>
      <c r="E16" s="2">
        <v>25</v>
      </c>
      <c r="F16" s="2" t="s">
        <v>18</v>
      </c>
      <c r="G16" s="3" t="s">
        <v>10</v>
      </c>
      <c r="H16" s="4" t="s">
        <v>34</v>
      </c>
      <c r="I16" s="32">
        <f t="shared" si="0"/>
        <v>30.18</v>
      </c>
      <c r="J16" s="5">
        <v>30.18</v>
      </c>
    </row>
    <row r="17" spans="1:10" ht="15.75" thickBot="1" x14ac:dyDescent="0.3">
      <c r="A17" s="1">
        <v>132</v>
      </c>
      <c r="B17" s="2" t="s">
        <v>27</v>
      </c>
      <c r="C17" s="2" t="s">
        <v>28</v>
      </c>
      <c r="D17" s="2" t="s">
        <v>8</v>
      </c>
      <c r="E17" s="2">
        <v>20</v>
      </c>
      <c r="F17" s="2" t="s">
        <v>24</v>
      </c>
      <c r="G17" s="6" t="s">
        <v>25</v>
      </c>
      <c r="H17" s="4" t="s">
        <v>35</v>
      </c>
      <c r="I17" s="32">
        <f t="shared" si="0"/>
        <v>31.96</v>
      </c>
      <c r="J17" s="5">
        <v>31.96</v>
      </c>
    </row>
    <row r="18" spans="1:10" ht="15.75" thickBot="1" x14ac:dyDescent="0.3">
      <c r="A18" s="1">
        <v>294</v>
      </c>
      <c r="B18" s="2" t="s">
        <v>27</v>
      </c>
      <c r="C18" s="2" t="s">
        <v>28</v>
      </c>
      <c r="D18" s="2" t="s">
        <v>13</v>
      </c>
      <c r="E18" s="2">
        <v>20</v>
      </c>
      <c r="F18" s="2" t="s">
        <v>24</v>
      </c>
      <c r="G18" s="6" t="s">
        <v>25</v>
      </c>
      <c r="H18" s="4" t="s">
        <v>36</v>
      </c>
      <c r="I18" s="32">
        <f t="shared" si="0"/>
        <v>33.57</v>
      </c>
      <c r="J18" s="5">
        <v>33.57</v>
      </c>
    </row>
    <row r="19" spans="1:10" ht="15.75" thickBot="1" x14ac:dyDescent="0.3">
      <c r="A19" s="1">
        <v>300</v>
      </c>
      <c r="B19" s="2" t="s">
        <v>27</v>
      </c>
      <c r="C19" s="2" t="s">
        <v>28</v>
      </c>
      <c r="D19" s="2" t="s">
        <v>16</v>
      </c>
      <c r="E19" s="2">
        <v>20</v>
      </c>
      <c r="F19" s="2" t="s">
        <v>24</v>
      </c>
      <c r="G19" s="6" t="s">
        <v>25</v>
      </c>
      <c r="H19" s="4" t="s">
        <v>37</v>
      </c>
      <c r="I19" s="32">
        <f t="shared" si="0"/>
        <v>35.58</v>
      </c>
      <c r="J19" s="5">
        <v>35.58</v>
      </c>
    </row>
    <row r="20" spans="1:10" ht="15.75" thickBot="1" x14ac:dyDescent="0.3">
      <c r="A20" s="1">
        <v>1</v>
      </c>
      <c r="B20" s="2" t="s">
        <v>38</v>
      </c>
      <c r="C20" s="2" t="s">
        <v>39</v>
      </c>
      <c r="D20" s="7" t="s">
        <v>8</v>
      </c>
      <c r="E20" s="7">
        <v>1000</v>
      </c>
      <c r="F20" s="7" t="s">
        <v>9</v>
      </c>
      <c r="G20" s="8" t="s">
        <v>10</v>
      </c>
      <c r="H20" s="9"/>
      <c r="I20" s="33">
        <f t="shared" si="0"/>
        <v>0.44</v>
      </c>
      <c r="J20" s="10">
        <v>0.44</v>
      </c>
    </row>
    <row r="21" spans="1:10" ht="15.75" thickBot="1" x14ac:dyDescent="0.3">
      <c r="A21" s="1">
        <v>2</v>
      </c>
      <c r="B21" s="2" t="s">
        <v>40</v>
      </c>
      <c r="C21" s="2" t="s">
        <v>39</v>
      </c>
      <c r="D21" s="2" t="s">
        <v>13</v>
      </c>
      <c r="E21" s="2">
        <v>1000</v>
      </c>
      <c r="F21" s="2" t="s">
        <v>9</v>
      </c>
      <c r="G21" s="3" t="s">
        <v>10</v>
      </c>
      <c r="H21" s="4"/>
      <c r="I21" s="32">
        <f t="shared" si="0"/>
        <v>0.47</v>
      </c>
      <c r="J21" s="5">
        <v>0.47</v>
      </c>
    </row>
    <row r="22" spans="1:10" ht="15.75" thickBot="1" x14ac:dyDescent="0.3">
      <c r="A22" s="1">
        <v>3</v>
      </c>
      <c r="B22" s="2" t="s">
        <v>41</v>
      </c>
      <c r="C22" s="2" t="s">
        <v>39</v>
      </c>
      <c r="D22" s="2" t="s">
        <v>16</v>
      </c>
      <c r="E22" s="2">
        <v>1000</v>
      </c>
      <c r="F22" s="2" t="s">
        <v>9</v>
      </c>
      <c r="G22" s="3" t="s">
        <v>10</v>
      </c>
      <c r="H22" s="4"/>
      <c r="I22" s="32">
        <f t="shared" si="0"/>
        <v>0.49</v>
      </c>
      <c r="J22" s="5">
        <v>0.49</v>
      </c>
    </row>
    <row r="23" spans="1:10" ht="15.75" thickBot="1" x14ac:dyDescent="0.3">
      <c r="A23" s="1">
        <v>1425</v>
      </c>
      <c r="B23" s="2" t="s">
        <v>87</v>
      </c>
      <c r="C23" s="2" t="s">
        <v>39</v>
      </c>
      <c r="D23" s="7" t="s">
        <v>8</v>
      </c>
      <c r="E23" s="7">
        <v>1000</v>
      </c>
      <c r="F23" s="7" t="s">
        <v>24</v>
      </c>
      <c r="G23" s="8" t="s">
        <v>90</v>
      </c>
      <c r="H23" s="9"/>
      <c r="I23" s="34">
        <f t="shared" si="0"/>
        <v>0.64</v>
      </c>
      <c r="J23" s="27">
        <v>0.64</v>
      </c>
    </row>
    <row r="24" spans="1:10" ht="15.75" customHeight="1" thickBot="1" x14ac:dyDescent="0.3">
      <c r="A24" s="1">
        <v>1426</v>
      </c>
      <c r="B24" s="2" t="s">
        <v>88</v>
      </c>
      <c r="C24" s="2" t="s">
        <v>39</v>
      </c>
      <c r="D24" s="2" t="s">
        <v>13</v>
      </c>
      <c r="E24" s="2">
        <v>1000</v>
      </c>
      <c r="F24" s="2" t="s">
        <v>24</v>
      </c>
      <c r="G24" s="8" t="s">
        <v>90</v>
      </c>
      <c r="H24" s="4"/>
      <c r="I24" s="35">
        <f t="shared" si="0"/>
        <v>0.67</v>
      </c>
      <c r="J24" s="26">
        <v>0.67</v>
      </c>
    </row>
    <row r="25" spans="1:10" ht="15.75" thickBot="1" x14ac:dyDescent="0.3">
      <c r="A25" s="1">
        <v>1427</v>
      </c>
      <c r="B25" s="2" t="s">
        <v>89</v>
      </c>
      <c r="C25" s="2" t="s">
        <v>39</v>
      </c>
      <c r="D25" s="2" t="s">
        <v>16</v>
      </c>
      <c r="E25" s="2">
        <v>1000</v>
      </c>
      <c r="F25" s="2" t="s">
        <v>24</v>
      </c>
      <c r="G25" s="8" t="s">
        <v>90</v>
      </c>
      <c r="H25" s="4"/>
      <c r="I25" s="35">
        <f t="shared" si="0"/>
        <v>0.71</v>
      </c>
      <c r="J25" s="26">
        <v>0.71</v>
      </c>
    </row>
    <row r="26" spans="1:10" ht="15.75" thickBot="1" x14ac:dyDescent="0.3">
      <c r="A26" s="1">
        <v>155</v>
      </c>
      <c r="B26" s="2" t="s">
        <v>42</v>
      </c>
      <c r="C26" s="2" t="s">
        <v>43</v>
      </c>
      <c r="D26" s="7"/>
      <c r="E26" s="2">
        <v>12</v>
      </c>
      <c r="F26" s="2" t="s">
        <v>44</v>
      </c>
      <c r="G26" s="6" t="s">
        <v>25</v>
      </c>
      <c r="H26" s="4" t="s">
        <v>45</v>
      </c>
      <c r="I26" s="32">
        <f t="shared" si="0"/>
        <v>55.72</v>
      </c>
      <c r="J26" s="5">
        <v>55.72</v>
      </c>
    </row>
    <row r="27" spans="1:10" ht="15.75" thickBot="1" x14ac:dyDescent="0.3">
      <c r="A27" s="1">
        <v>158</v>
      </c>
      <c r="B27" s="2" t="s">
        <v>46</v>
      </c>
      <c r="C27" s="2" t="s">
        <v>92</v>
      </c>
      <c r="D27" s="2"/>
      <c r="E27" s="2">
        <v>150</v>
      </c>
      <c r="F27" s="2" t="s">
        <v>44</v>
      </c>
      <c r="G27" s="6" t="s">
        <v>25</v>
      </c>
      <c r="H27" s="4" t="s">
        <v>48</v>
      </c>
      <c r="I27" s="32">
        <f t="shared" si="0"/>
        <v>6.25</v>
      </c>
      <c r="J27" s="5">
        <v>6.25</v>
      </c>
    </row>
    <row r="28" spans="1:10" ht="15.75" thickBot="1" x14ac:dyDescent="0.3">
      <c r="A28" s="1">
        <v>157</v>
      </c>
      <c r="B28" s="2" t="s">
        <v>46</v>
      </c>
      <c r="C28" s="2" t="s">
        <v>93</v>
      </c>
      <c r="D28" s="2"/>
      <c r="E28" s="2">
        <v>300</v>
      </c>
      <c r="F28" s="2" t="s">
        <v>44</v>
      </c>
      <c r="G28" s="6" t="s">
        <v>25</v>
      </c>
      <c r="H28" s="4" t="s">
        <v>48</v>
      </c>
      <c r="I28" s="32">
        <f t="shared" si="0"/>
        <v>3.15</v>
      </c>
      <c r="J28" s="5">
        <v>3.15</v>
      </c>
    </row>
    <row r="29" spans="1:10" ht="15.75" thickBot="1" x14ac:dyDescent="0.3">
      <c r="A29" s="11">
        <v>163</v>
      </c>
      <c r="B29" s="12" t="s">
        <v>50</v>
      </c>
      <c r="C29" s="12" t="s">
        <v>51</v>
      </c>
      <c r="D29" s="12" t="s">
        <v>52</v>
      </c>
      <c r="E29" s="12" t="s">
        <v>53</v>
      </c>
      <c r="F29" s="12" t="s">
        <v>70</v>
      </c>
      <c r="G29" s="12" t="s">
        <v>9</v>
      </c>
      <c r="H29" s="13" t="s">
        <v>25</v>
      </c>
      <c r="I29" s="37">
        <f t="shared" si="0"/>
        <v>4.46</v>
      </c>
      <c r="J29" s="14">
        <v>4.46</v>
      </c>
    </row>
    <row r="30" spans="1:10" x14ac:dyDescent="0.25">
      <c r="A30" s="11">
        <v>480</v>
      </c>
      <c r="B30" s="12" t="s">
        <v>50</v>
      </c>
      <c r="C30" s="12" t="s">
        <v>54</v>
      </c>
      <c r="D30" s="12" t="s">
        <v>52</v>
      </c>
      <c r="E30" s="15" t="s">
        <v>53</v>
      </c>
      <c r="F30" s="12" t="s">
        <v>70</v>
      </c>
      <c r="G30" s="12" t="s">
        <v>9</v>
      </c>
      <c r="H30" s="13" t="s">
        <v>25</v>
      </c>
      <c r="I30" s="37">
        <f t="shared" si="0"/>
        <v>5.51</v>
      </c>
      <c r="J30" s="14">
        <v>5.51</v>
      </c>
    </row>
    <row r="31" spans="1:10" x14ac:dyDescent="0.25">
      <c r="A31" s="11">
        <v>164</v>
      </c>
      <c r="B31" s="12" t="s">
        <v>50</v>
      </c>
      <c r="C31" s="12" t="s">
        <v>55</v>
      </c>
      <c r="D31" s="12" t="s">
        <v>52</v>
      </c>
      <c r="E31" s="15" t="s">
        <v>53</v>
      </c>
      <c r="F31" s="12" t="s">
        <v>56</v>
      </c>
      <c r="G31" s="12" t="s">
        <v>9</v>
      </c>
      <c r="H31" s="13" t="s">
        <v>25</v>
      </c>
      <c r="I31" s="37">
        <f t="shared" si="0"/>
        <v>6.32</v>
      </c>
      <c r="J31" s="14">
        <v>6.32</v>
      </c>
    </row>
    <row r="32" spans="1:10" x14ac:dyDescent="0.25">
      <c r="A32" s="11">
        <v>165</v>
      </c>
      <c r="B32" s="12" t="s">
        <v>50</v>
      </c>
      <c r="C32" s="12" t="s">
        <v>57</v>
      </c>
      <c r="D32" s="12" t="s">
        <v>52</v>
      </c>
      <c r="E32" s="15" t="s">
        <v>53</v>
      </c>
      <c r="F32" s="12" t="s">
        <v>67</v>
      </c>
      <c r="G32" s="12" t="s">
        <v>9</v>
      </c>
      <c r="H32" s="13" t="s">
        <v>25</v>
      </c>
      <c r="I32" s="37">
        <f t="shared" si="0"/>
        <v>8.14</v>
      </c>
      <c r="J32" s="14">
        <v>8.14</v>
      </c>
    </row>
    <row r="33" spans="1:10" x14ac:dyDescent="0.25">
      <c r="A33" s="11">
        <v>166</v>
      </c>
      <c r="B33" s="12" t="s">
        <v>50</v>
      </c>
      <c r="C33" s="12" t="s">
        <v>59</v>
      </c>
      <c r="D33" s="12" t="s">
        <v>52</v>
      </c>
      <c r="E33" s="15" t="s">
        <v>53</v>
      </c>
      <c r="F33" s="12" t="s">
        <v>60</v>
      </c>
      <c r="G33" s="12" t="s">
        <v>9</v>
      </c>
      <c r="H33" s="13" t="s">
        <v>25</v>
      </c>
      <c r="I33" s="37">
        <f t="shared" si="0"/>
        <v>12.06</v>
      </c>
      <c r="J33" s="14">
        <v>12.06</v>
      </c>
    </row>
    <row r="34" spans="1:10" x14ac:dyDescent="0.25">
      <c r="A34" s="11">
        <v>171</v>
      </c>
      <c r="B34" s="12" t="s">
        <v>50</v>
      </c>
      <c r="C34" s="12" t="s">
        <v>61</v>
      </c>
      <c r="D34" s="12" t="s">
        <v>52</v>
      </c>
      <c r="E34" s="15" t="s">
        <v>53</v>
      </c>
      <c r="F34" s="12" t="s">
        <v>62</v>
      </c>
      <c r="G34" s="12" t="s">
        <v>9</v>
      </c>
      <c r="H34" s="13" t="s">
        <v>25</v>
      </c>
      <c r="I34" s="37">
        <f t="shared" ref="I34:I65" si="1">(J34*$J$1)+J34</f>
        <v>6.05</v>
      </c>
      <c r="J34" s="14">
        <v>6.05</v>
      </c>
    </row>
    <row r="35" spans="1:10" x14ac:dyDescent="0.25">
      <c r="A35" s="11">
        <v>478</v>
      </c>
      <c r="B35" s="12" t="s">
        <v>50</v>
      </c>
      <c r="C35" s="12" t="s">
        <v>63</v>
      </c>
      <c r="D35" s="12" t="s">
        <v>52</v>
      </c>
      <c r="E35" s="15" t="s">
        <v>53</v>
      </c>
      <c r="F35" s="12" t="s">
        <v>56</v>
      </c>
      <c r="G35" s="12" t="s">
        <v>9</v>
      </c>
      <c r="H35" s="13" t="s">
        <v>25</v>
      </c>
      <c r="I35" s="37">
        <f t="shared" si="1"/>
        <v>7.62</v>
      </c>
      <c r="J35" s="14">
        <v>7.62</v>
      </c>
    </row>
    <row r="36" spans="1:10" x14ac:dyDescent="0.25">
      <c r="A36" s="11">
        <v>172</v>
      </c>
      <c r="B36" s="12" t="s">
        <v>50</v>
      </c>
      <c r="C36" s="12" t="s">
        <v>64</v>
      </c>
      <c r="D36" s="12" t="s">
        <v>52</v>
      </c>
      <c r="E36" s="15" t="s">
        <v>53</v>
      </c>
      <c r="F36" s="12" t="s">
        <v>65</v>
      </c>
      <c r="G36" s="12" t="s">
        <v>9</v>
      </c>
      <c r="H36" s="13" t="s">
        <v>25</v>
      </c>
      <c r="I36" s="37">
        <f t="shared" si="1"/>
        <v>8.91</v>
      </c>
      <c r="J36" s="14">
        <v>8.91</v>
      </c>
    </row>
    <row r="37" spans="1:10" x14ac:dyDescent="0.25">
      <c r="A37" s="16">
        <v>173</v>
      </c>
      <c r="B37" s="17" t="s">
        <v>50</v>
      </c>
      <c r="C37" s="17" t="s">
        <v>66</v>
      </c>
      <c r="D37" s="17" t="s">
        <v>52</v>
      </c>
      <c r="E37" s="18" t="s">
        <v>53</v>
      </c>
      <c r="F37" s="17" t="s">
        <v>73</v>
      </c>
      <c r="G37" s="17" t="s">
        <v>9</v>
      </c>
      <c r="H37" s="19" t="s">
        <v>25</v>
      </c>
      <c r="I37" s="38">
        <f t="shared" si="1"/>
        <v>11.57</v>
      </c>
      <c r="J37" s="20">
        <v>11.57</v>
      </c>
    </row>
    <row r="38" spans="1:10" x14ac:dyDescent="0.25">
      <c r="A38" s="21">
        <v>174</v>
      </c>
      <c r="B38" s="22" t="s">
        <v>50</v>
      </c>
      <c r="C38" s="22" t="s">
        <v>68</v>
      </c>
      <c r="D38" s="22" t="s">
        <v>52</v>
      </c>
      <c r="E38" s="23" t="s">
        <v>53</v>
      </c>
      <c r="F38" s="22" t="s">
        <v>69</v>
      </c>
      <c r="G38" s="22" t="s">
        <v>9</v>
      </c>
      <c r="H38" s="6" t="s">
        <v>25</v>
      </c>
      <c r="I38" s="39">
        <f t="shared" si="1"/>
        <v>16.57</v>
      </c>
      <c r="J38" s="24">
        <v>16.57</v>
      </c>
    </row>
    <row r="39" spans="1:10" x14ac:dyDescent="0.25">
      <c r="A39" s="11">
        <v>159</v>
      </c>
      <c r="B39" s="12" t="s">
        <v>50</v>
      </c>
      <c r="C39" s="12" t="s">
        <v>51</v>
      </c>
      <c r="D39" s="12" t="s">
        <v>52</v>
      </c>
      <c r="E39" s="15" t="s">
        <v>53</v>
      </c>
      <c r="F39" s="12" t="s">
        <v>70</v>
      </c>
      <c r="G39" s="12" t="s">
        <v>24</v>
      </c>
      <c r="H39" s="13" t="s">
        <v>25</v>
      </c>
      <c r="I39" s="37">
        <f t="shared" si="1"/>
        <v>5.21</v>
      </c>
      <c r="J39" s="14">
        <v>5.21</v>
      </c>
    </row>
    <row r="40" spans="1:10" x14ac:dyDescent="0.25">
      <c r="A40" s="11">
        <v>481</v>
      </c>
      <c r="B40" s="12" t="s">
        <v>50</v>
      </c>
      <c r="C40" s="12" t="s">
        <v>54</v>
      </c>
      <c r="D40" s="12" t="s">
        <v>52</v>
      </c>
      <c r="E40" s="15" t="s">
        <v>53</v>
      </c>
      <c r="F40" s="12" t="s">
        <v>71</v>
      </c>
      <c r="G40" s="12" t="s">
        <v>24</v>
      </c>
      <c r="H40" s="13" t="s">
        <v>25</v>
      </c>
      <c r="I40" s="37">
        <f t="shared" si="1"/>
        <v>6.44</v>
      </c>
      <c r="J40" s="14">
        <v>6.44</v>
      </c>
    </row>
    <row r="41" spans="1:10" x14ac:dyDescent="0.25">
      <c r="A41" s="11">
        <v>160</v>
      </c>
      <c r="B41" s="12" t="s">
        <v>50</v>
      </c>
      <c r="C41" s="12" t="s">
        <v>55</v>
      </c>
      <c r="D41" s="12" t="s">
        <v>52</v>
      </c>
      <c r="E41" s="15" t="s">
        <v>53</v>
      </c>
      <c r="F41" s="12" t="s">
        <v>58</v>
      </c>
      <c r="G41" s="12" t="s">
        <v>24</v>
      </c>
      <c r="H41" s="13" t="s">
        <v>25</v>
      </c>
      <c r="I41" s="37">
        <f t="shared" si="1"/>
        <v>7.38</v>
      </c>
      <c r="J41" s="14">
        <v>7.38</v>
      </c>
    </row>
    <row r="42" spans="1:10" x14ac:dyDescent="0.25">
      <c r="A42" s="11">
        <v>161</v>
      </c>
      <c r="B42" s="12" t="s">
        <v>50</v>
      </c>
      <c r="C42" s="12" t="s">
        <v>57</v>
      </c>
      <c r="D42" s="12" t="s">
        <v>52</v>
      </c>
      <c r="E42" s="15" t="s">
        <v>53</v>
      </c>
      <c r="F42" s="12" t="s">
        <v>67</v>
      </c>
      <c r="G42" s="12" t="s">
        <v>24</v>
      </c>
      <c r="H42" s="13" t="s">
        <v>25</v>
      </c>
      <c r="I42" s="37">
        <f t="shared" si="1"/>
        <v>9.49</v>
      </c>
      <c r="J42" s="14">
        <v>9.49</v>
      </c>
    </row>
    <row r="43" spans="1:10" x14ac:dyDescent="0.25">
      <c r="A43" s="11">
        <v>162</v>
      </c>
      <c r="B43" s="12" t="s">
        <v>50</v>
      </c>
      <c r="C43" s="12" t="s">
        <v>59</v>
      </c>
      <c r="D43" s="12" t="s">
        <v>52</v>
      </c>
      <c r="E43" s="15" t="s">
        <v>53</v>
      </c>
      <c r="F43" s="12" t="s">
        <v>72</v>
      </c>
      <c r="G43" s="12" t="s">
        <v>24</v>
      </c>
      <c r="H43" s="13" t="s">
        <v>25</v>
      </c>
      <c r="I43" s="37">
        <f t="shared" si="1"/>
        <v>14.13</v>
      </c>
      <c r="J43" s="14">
        <v>14.13</v>
      </c>
    </row>
    <row r="44" spans="1:10" x14ac:dyDescent="0.25">
      <c r="A44" s="11">
        <v>167</v>
      </c>
      <c r="B44" s="12" t="s">
        <v>50</v>
      </c>
      <c r="C44" s="12" t="s">
        <v>61</v>
      </c>
      <c r="D44" s="12" t="s">
        <v>52</v>
      </c>
      <c r="E44" s="15" t="s">
        <v>53</v>
      </c>
      <c r="F44" s="12" t="s">
        <v>56</v>
      </c>
      <c r="G44" s="12" t="s">
        <v>24</v>
      </c>
      <c r="H44" s="13" t="s">
        <v>25</v>
      </c>
      <c r="I44" s="37">
        <f t="shared" si="1"/>
        <v>7.19</v>
      </c>
      <c r="J44" s="14">
        <v>7.19</v>
      </c>
    </row>
    <row r="45" spans="1:10" x14ac:dyDescent="0.25">
      <c r="A45" s="11">
        <v>479</v>
      </c>
      <c r="B45" s="12" t="s">
        <v>50</v>
      </c>
      <c r="C45" s="12" t="s">
        <v>63</v>
      </c>
      <c r="D45" s="12" t="s">
        <v>52</v>
      </c>
      <c r="E45" s="15" t="s">
        <v>53</v>
      </c>
      <c r="F45" s="12" t="s">
        <v>58</v>
      </c>
      <c r="G45" s="12" t="s">
        <v>24</v>
      </c>
      <c r="H45" s="13" t="s">
        <v>25</v>
      </c>
      <c r="I45" s="37">
        <f t="shared" si="1"/>
        <v>8.9</v>
      </c>
      <c r="J45" s="14">
        <v>8.9</v>
      </c>
    </row>
    <row r="46" spans="1:10" x14ac:dyDescent="0.25">
      <c r="A46" s="11">
        <v>168</v>
      </c>
      <c r="B46" s="12" t="s">
        <v>50</v>
      </c>
      <c r="C46" s="12" t="s">
        <v>64</v>
      </c>
      <c r="D46" s="12" t="s">
        <v>52</v>
      </c>
      <c r="E46" s="15" t="s">
        <v>53</v>
      </c>
      <c r="F46" s="12" t="s">
        <v>67</v>
      </c>
      <c r="G46" s="12" t="s">
        <v>24</v>
      </c>
      <c r="H46" s="13" t="s">
        <v>25</v>
      </c>
      <c r="I46" s="37">
        <f t="shared" si="1"/>
        <v>10.52</v>
      </c>
      <c r="J46" s="14">
        <v>10.52</v>
      </c>
    </row>
    <row r="47" spans="1:10" x14ac:dyDescent="0.25">
      <c r="A47" s="11">
        <v>169</v>
      </c>
      <c r="B47" s="12" t="s">
        <v>50</v>
      </c>
      <c r="C47" s="12" t="s">
        <v>66</v>
      </c>
      <c r="D47" s="12" t="s">
        <v>52</v>
      </c>
      <c r="E47" s="15" t="s">
        <v>53</v>
      </c>
      <c r="F47" s="12" t="s">
        <v>73</v>
      </c>
      <c r="G47" s="12" t="s">
        <v>24</v>
      </c>
      <c r="H47" s="13" t="s">
        <v>25</v>
      </c>
      <c r="I47" s="37">
        <f t="shared" si="1"/>
        <v>13.51</v>
      </c>
      <c r="J47" s="14">
        <v>13.51</v>
      </c>
    </row>
    <row r="48" spans="1:10" ht="15.75" thickBot="1" x14ac:dyDescent="0.3">
      <c r="A48" s="11">
        <v>170</v>
      </c>
      <c r="B48" s="12" t="s">
        <v>50</v>
      </c>
      <c r="C48" s="12" t="s">
        <v>68</v>
      </c>
      <c r="D48" s="12" t="s">
        <v>52</v>
      </c>
      <c r="E48" s="15" t="s">
        <v>53</v>
      </c>
      <c r="F48" s="12" t="s">
        <v>74</v>
      </c>
      <c r="G48" s="12" t="s">
        <v>24</v>
      </c>
      <c r="H48" s="13" t="s">
        <v>25</v>
      </c>
      <c r="I48" s="37">
        <f t="shared" si="1"/>
        <v>19.48</v>
      </c>
      <c r="J48" s="14">
        <v>19.48</v>
      </c>
    </row>
    <row r="49" spans="1:10" ht="15.75" thickBot="1" x14ac:dyDescent="0.3">
      <c r="A49" s="11">
        <v>414</v>
      </c>
      <c r="B49" s="12" t="s">
        <v>50</v>
      </c>
      <c r="C49" s="12" t="s">
        <v>51</v>
      </c>
      <c r="D49" s="12" t="s">
        <v>52</v>
      </c>
      <c r="E49" s="12" t="s">
        <v>75</v>
      </c>
      <c r="F49" s="12" t="s">
        <v>70</v>
      </c>
      <c r="G49" s="12" t="s">
        <v>9</v>
      </c>
      <c r="H49" s="13" t="s">
        <v>25</v>
      </c>
      <c r="I49" s="37">
        <f t="shared" si="1"/>
        <v>4.32</v>
      </c>
      <c r="J49" s="14">
        <v>4.32</v>
      </c>
    </row>
    <row r="50" spans="1:10" x14ac:dyDescent="0.25">
      <c r="A50" s="11">
        <v>476</v>
      </c>
      <c r="B50" s="12" t="s">
        <v>50</v>
      </c>
      <c r="C50" s="12" t="s">
        <v>54</v>
      </c>
      <c r="D50" s="12" t="s">
        <v>52</v>
      </c>
      <c r="E50" s="15" t="s">
        <v>75</v>
      </c>
      <c r="F50" s="12" t="s">
        <v>94</v>
      </c>
      <c r="G50" s="12" t="s">
        <v>9</v>
      </c>
      <c r="H50" s="13" t="s">
        <v>25</v>
      </c>
      <c r="I50" s="37">
        <f t="shared" si="1"/>
        <v>5.34</v>
      </c>
      <c r="J50" s="14">
        <v>5.34</v>
      </c>
    </row>
    <row r="51" spans="1:10" x14ac:dyDescent="0.25">
      <c r="A51" s="11">
        <v>419</v>
      </c>
      <c r="B51" s="12" t="s">
        <v>50</v>
      </c>
      <c r="C51" s="12" t="s">
        <v>55</v>
      </c>
      <c r="D51" s="12" t="s">
        <v>52</v>
      </c>
      <c r="E51" s="15" t="s">
        <v>75</v>
      </c>
      <c r="F51" s="12" t="s">
        <v>67</v>
      </c>
      <c r="G51" s="12" t="s">
        <v>9</v>
      </c>
      <c r="H51" s="13" t="s">
        <v>25</v>
      </c>
      <c r="I51" s="37">
        <f t="shared" si="1"/>
        <v>6.15</v>
      </c>
      <c r="J51" s="14">
        <v>6.15</v>
      </c>
    </row>
    <row r="52" spans="1:10" x14ac:dyDescent="0.25">
      <c r="A52" s="11">
        <v>423</v>
      </c>
      <c r="B52" s="12" t="s">
        <v>50</v>
      </c>
      <c r="C52" s="12" t="s">
        <v>57</v>
      </c>
      <c r="D52" s="12" t="s">
        <v>52</v>
      </c>
      <c r="E52" s="15" t="s">
        <v>75</v>
      </c>
      <c r="F52" s="12" t="s">
        <v>76</v>
      </c>
      <c r="G52" s="12" t="s">
        <v>9</v>
      </c>
      <c r="H52" s="13" t="s">
        <v>25</v>
      </c>
      <c r="I52" s="37">
        <f t="shared" si="1"/>
        <v>7.9</v>
      </c>
      <c r="J52" s="14">
        <v>7.9</v>
      </c>
    </row>
    <row r="53" spans="1:10" x14ac:dyDescent="0.25">
      <c r="A53" s="11">
        <v>427</v>
      </c>
      <c r="B53" s="12" t="s">
        <v>50</v>
      </c>
      <c r="C53" s="12" t="s">
        <v>59</v>
      </c>
      <c r="D53" s="12" t="s">
        <v>52</v>
      </c>
      <c r="E53" s="15" t="s">
        <v>75</v>
      </c>
      <c r="F53" s="12" t="s">
        <v>77</v>
      </c>
      <c r="G53" s="12" t="s">
        <v>9</v>
      </c>
      <c r="H53" s="13" t="s">
        <v>25</v>
      </c>
      <c r="I53" s="37">
        <f t="shared" si="1"/>
        <v>11.7</v>
      </c>
      <c r="J53" s="14">
        <v>11.7</v>
      </c>
    </row>
    <row r="54" spans="1:10" x14ac:dyDescent="0.25">
      <c r="A54" s="11">
        <v>417</v>
      </c>
      <c r="B54" s="12" t="s">
        <v>50</v>
      </c>
      <c r="C54" s="12" t="s">
        <v>61</v>
      </c>
      <c r="D54" s="12" t="s">
        <v>52</v>
      </c>
      <c r="E54" s="15" t="s">
        <v>75</v>
      </c>
      <c r="F54" s="12" t="s">
        <v>78</v>
      </c>
      <c r="G54" s="12" t="s">
        <v>9</v>
      </c>
      <c r="H54" s="13" t="s">
        <v>25</v>
      </c>
      <c r="I54" s="37">
        <f t="shared" si="1"/>
        <v>5.85</v>
      </c>
      <c r="J54" s="14">
        <v>5.85</v>
      </c>
    </row>
    <row r="55" spans="1:10" x14ac:dyDescent="0.25">
      <c r="A55" s="11">
        <v>474</v>
      </c>
      <c r="B55" s="12" t="s">
        <v>50</v>
      </c>
      <c r="C55" s="12" t="s">
        <v>63</v>
      </c>
      <c r="D55" s="12" t="s">
        <v>52</v>
      </c>
      <c r="E55" s="15" t="s">
        <v>75</v>
      </c>
      <c r="F55" s="12" t="s">
        <v>67</v>
      </c>
      <c r="G55" s="12" t="s">
        <v>9</v>
      </c>
      <c r="H55" s="13" t="s">
        <v>25</v>
      </c>
      <c r="I55" s="37">
        <f t="shared" si="1"/>
        <v>7.39</v>
      </c>
      <c r="J55" s="14">
        <v>7.39</v>
      </c>
    </row>
    <row r="56" spans="1:10" x14ac:dyDescent="0.25">
      <c r="A56" s="11">
        <v>421</v>
      </c>
      <c r="B56" s="12" t="s">
        <v>50</v>
      </c>
      <c r="C56" s="12" t="s">
        <v>64</v>
      </c>
      <c r="D56" s="12" t="s">
        <v>52</v>
      </c>
      <c r="E56" s="15" t="s">
        <v>75</v>
      </c>
      <c r="F56" s="12" t="s">
        <v>73</v>
      </c>
      <c r="G56" s="12" t="s">
        <v>9</v>
      </c>
      <c r="H56" s="13" t="s">
        <v>25</v>
      </c>
      <c r="I56" s="37">
        <f t="shared" si="1"/>
        <v>8.65</v>
      </c>
      <c r="J56" s="14">
        <v>8.65</v>
      </c>
    </row>
    <row r="57" spans="1:10" x14ac:dyDescent="0.25">
      <c r="A57" s="16">
        <v>425</v>
      </c>
      <c r="B57" s="17" t="s">
        <v>50</v>
      </c>
      <c r="C57" s="17" t="s">
        <v>66</v>
      </c>
      <c r="D57" s="17" t="s">
        <v>52</v>
      </c>
      <c r="E57" s="18" t="s">
        <v>75</v>
      </c>
      <c r="F57" s="17" t="s">
        <v>79</v>
      </c>
      <c r="G57" s="17" t="s">
        <v>9</v>
      </c>
      <c r="H57" s="19" t="s">
        <v>25</v>
      </c>
      <c r="I57" s="38">
        <f t="shared" si="1"/>
        <v>11.22</v>
      </c>
      <c r="J57" s="20">
        <v>11.22</v>
      </c>
    </row>
    <row r="58" spans="1:10" x14ac:dyDescent="0.25">
      <c r="A58" s="21">
        <v>429</v>
      </c>
      <c r="B58" s="22" t="s">
        <v>50</v>
      </c>
      <c r="C58" s="22" t="s">
        <v>68</v>
      </c>
      <c r="D58" s="22" t="s">
        <v>52</v>
      </c>
      <c r="E58" s="23" t="s">
        <v>75</v>
      </c>
      <c r="F58" s="22" t="s">
        <v>80</v>
      </c>
      <c r="G58" s="22" t="s">
        <v>9</v>
      </c>
      <c r="H58" s="6" t="s">
        <v>25</v>
      </c>
      <c r="I58" s="39">
        <f t="shared" si="1"/>
        <v>16.059999999999999</v>
      </c>
      <c r="J58" s="24">
        <v>16.059999999999999</v>
      </c>
    </row>
    <row r="59" spans="1:10" x14ac:dyDescent="0.25">
      <c r="A59" s="11">
        <v>416</v>
      </c>
      <c r="B59" s="12" t="s">
        <v>50</v>
      </c>
      <c r="C59" s="12" t="s">
        <v>51</v>
      </c>
      <c r="D59" s="12" t="s">
        <v>52</v>
      </c>
      <c r="E59" s="15" t="s">
        <v>75</v>
      </c>
      <c r="F59" s="12" t="s">
        <v>62</v>
      </c>
      <c r="G59" s="12" t="s">
        <v>24</v>
      </c>
      <c r="H59" s="13" t="s">
        <v>25</v>
      </c>
      <c r="I59" s="37">
        <f t="shared" si="1"/>
        <v>5.05</v>
      </c>
      <c r="J59" s="14">
        <v>5.05</v>
      </c>
    </row>
    <row r="60" spans="1:10" x14ac:dyDescent="0.25">
      <c r="A60" s="11">
        <v>477</v>
      </c>
      <c r="B60" s="12" t="s">
        <v>50</v>
      </c>
      <c r="C60" s="12" t="s">
        <v>54</v>
      </c>
      <c r="D60" s="12" t="s">
        <v>52</v>
      </c>
      <c r="E60" s="15" t="s">
        <v>75</v>
      </c>
      <c r="F60" s="12" t="s">
        <v>56</v>
      </c>
      <c r="G60" s="12" t="s">
        <v>24</v>
      </c>
      <c r="H60" s="13" t="s">
        <v>25</v>
      </c>
      <c r="I60" s="37">
        <f t="shared" si="1"/>
        <v>6.25</v>
      </c>
      <c r="J60" s="14">
        <v>6.25</v>
      </c>
    </row>
    <row r="61" spans="1:10" x14ac:dyDescent="0.25">
      <c r="A61" s="11">
        <v>420</v>
      </c>
      <c r="B61" s="12" t="s">
        <v>50</v>
      </c>
      <c r="C61" s="12" t="s">
        <v>55</v>
      </c>
      <c r="D61" s="12" t="s">
        <v>52</v>
      </c>
      <c r="E61" s="15" t="s">
        <v>75</v>
      </c>
      <c r="F61" s="12" t="s">
        <v>81</v>
      </c>
      <c r="G61" s="12" t="s">
        <v>24</v>
      </c>
      <c r="H61" s="13" t="s">
        <v>25</v>
      </c>
      <c r="I61" s="37">
        <f t="shared" si="1"/>
        <v>7.1</v>
      </c>
      <c r="J61" s="14">
        <v>7.1</v>
      </c>
    </row>
    <row r="62" spans="1:10" x14ac:dyDescent="0.25">
      <c r="A62" s="11">
        <v>424</v>
      </c>
      <c r="B62" s="12" t="s">
        <v>50</v>
      </c>
      <c r="C62" s="12" t="s">
        <v>57</v>
      </c>
      <c r="D62" s="12" t="s">
        <v>52</v>
      </c>
      <c r="E62" s="15" t="s">
        <v>75</v>
      </c>
      <c r="F62" s="12" t="s">
        <v>82</v>
      </c>
      <c r="G62" s="12" t="s">
        <v>24</v>
      </c>
      <c r="H62" s="13" t="s">
        <v>25</v>
      </c>
      <c r="I62" s="37">
        <f t="shared" si="1"/>
        <v>9.1999999999999993</v>
      </c>
      <c r="J62" s="14">
        <v>9.1999999999999993</v>
      </c>
    </row>
    <row r="63" spans="1:10" x14ac:dyDescent="0.25">
      <c r="A63" s="11">
        <v>428</v>
      </c>
      <c r="B63" s="12" t="s">
        <v>50</v>
      </c>
      <c r="C63" s="12" t="s">
        <v>59</v>
      </c>
      <c r="D63" s="12" t="s">
        <v>52</v>
      </c>
      <c r="E63" s="15" t="s">
        <v>75</v>
      </c>
      <c r="F63" s="12" t="s">
        <v>83</v>
      </c>
      <c r="G63" s="12" t="s">
        <v>24</v>
      </c>
      <c r="H63" s="13" t="s">
        <v>25</v>
      </c>
      <c r="I63" s="37">
        <f t="shared" si="1"/>
        <v>13.72</v>
      </c>
      <c r="J63" s="14">
        <v>13.72</v>
      </c>
    </row>
    <row r="64" spans="1:10" x14ac:dyDescent="0.25">
      <c r="A64" s="11">
        <v>418</v>
      </c>
      <c r="B64" s="12" t="s">
        <v>50</v>
      </c>
      <c r="C64" s="12" t="s">
        <v>61</v>
      </c>
      <c r="D64" s="12" t="s">
        <v>52</v>
      </c>
      <c r="E64" s="15" t="s">
        <v>75</v>
      </c>
      <c r="F64" s="12" t="s">
        <v>84</v>
      </c>
      <c r="G64" s="12" t="s">
        <v>24</v>
      </c>
      <c r="H64" s="13" t="s">
        <v>25</v>
      </c>
      <c r="I64" s="37">
        <f t="shared" si="1"/>
        <v>7</v>
      </c>
      <c r="J64" s="14">
        <v>7</v>
      </c>
    </row>
    <row r="65" spans="1:10" x14ac:dyDescent="0.25">
      <c r="A65" s="11">
        <v>475</v>
      </c>
      <c r="B65" s="12" t="s">
        <v>50</v>
      </c>
      <c r="C65" s="12" t="s">
        <v>63</v>
      </c>
      <c r="D65" s="12" t="s">
        <v>52</v>
      </c>
      <c r="E65" s="15" t="s">
        <v>75</v>
      </c>
      <c r="F65" s="12" t="s">
        <v>73</v>
      </c>
      <c r="G65" s="12" t="s">
        <v>24</v>
      </c>
      <c r="H65" s="13" t="s">
        <v>25</v>
      </c>
      <c r="I65" s="37">
        <f t="shared" si="1"/>
        <v>8.6199999999999992</v>
      </c>
      <c r="J65" s="14">
        <v>8.6199999999999992</v>
      </c>
    </row>
    <row r="66" spans="1:10" x14ac:dyDescent="0.25">
      <c r="A66" s="11">
        <v>422</v>
      </c>
      <c r="B66" s="12" t="s">
        <v>50</v>
      </c>
      <c r="C66" s="12" t="s">
        <v>64</v>
      </c>
      <c r="D66" s="12" t="s">
        <v>52</v>
      </c>
      <c r="E66" s="15" t="s">
        <v>75</v>
      </c>
      <c r="F66" s="12" t="s">
        <v>82</v>
      </c>
      <c r="G66" s="12" t="s">
        <v>24</v>
      </c>
      <c r="H66" s="13" t="s">
        <v>25</v>
      </c>
      <c r="I66" s="37">
        <f t="shared" ref="I66:I97" si="2">(J66*$J$1)+J66</f>
        <v>10.19</v>
      </c>
      <c r="J66" s="14">
        <v>10.19</v>
      </c>
    </row>
    <row r="67" spans="1:10" x14ac:dyDescent="0.25">
      <c r="A67" s="11">
        <v>426</v>
      </c>
      <c r="B67" s="12" t="s">
        <v>50</v>
      </c>
      <c r="C67" s="12" t="s">
        <v>66</v>
      </c>
      <c r="D67" s="12" t="s">
        <v>52</v>
      </c>
      <c r="E67" s="15" t="s">
        <v>75</v>
      </c>
      <c r="F67" s="12" t="s">
        <v>85</v>
      </c>
      <c r="G67" s="12" t="s">
        <v>24</v>
      </c>
      <c r="H67" s="13" t="s">
        <v>25</v>
      </c>
      <c r="I67" s="37">
        <f t="shared" si="2"/>
        <v>13.11</v>
      </c>
      <c r="J67" s="14">
        <v>13.11</v>
      </c>
    </row>
    <row r="68" spans="1:10" ht="15.75" thickBot="1" x14ac:dyDescent="0.3">
      <c r="A68" s="11">
        <v>430</v>
      </c>
      <c r="B68" s="12" t="s">
        <v>50</v>
      </c>
      <c r="C68" s="12" t="s">
        <v>68</v>
      </c>
      <c r="D68" s="12" t="s">
        <v>52</v>
      </c>
      <c r="E68" s="15" t="s">
        <v>75</v>
      </c>
      <c r="F68" s="12" t="s">
        <v>86</v>
      </c>
      <c r="G68" s="12" t="s">
        <v>24</v>
      </c>
      <c r="H68" s="13" t="s">
        <v>25</v>
      </c>
      <c r="I68" s="37">
        <f t="shared" si="2"/>
        <v>18.91</v>
      </c>
      <c r="J68" s="14">
        <v>18.91</v>
      </c>
    </row>
  </sheetData>
  <pageMargins left="0.70866141732283472" right="0.70866141732283472" top="0.74803149606299213" bottom="0.74803149606299213" header="0.31496062992125984" footer="0.31496062992125984"/>
  <pageSetup paperSize="9" scale="73" fitToHeight="0" orientation="portrait" r:id="rId1"/>
  <headerFooter>
    <oddFooter>&amp;C&amp;G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 3%</vt:lpstr>
      <vt:lpstr>TAB 4%</vt:lpstr>
      <vt:lpstr>TAB 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fabio raimundo da silva</cp:lastModifiedBy>
  <cp:lastPrinted>2025-08-18T19:41:32Z</cp:lastPrinted>
  <dcterms:created xsi:type="dcterms:W3CDTF">2025-03-17T19:42:53Z</dcterms:created>
  <dcterms:modified xsi:type="dcterms:W3CDTF">2025-12-29T17:02:21Z</dcterms:modified>
</cp:coreProperties>
</file>