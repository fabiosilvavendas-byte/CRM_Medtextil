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ábio\Desktop\CRM_APP\dados\"/>
    </mc:Choice>
  </mc:AlternateContent>
  <xr:revisionPtr revIDLastSave="0" documentId="13_ncr:1_{3C55165E-A05F-4687-9E63-C7F2EC85BCE4}" xr6:coauthVersionLast="47" xr6:coauthVersionMax="47" xr10:uidLastSave="{00000000-0000-0000-0000-000000000000}"/>
  <bookViews>
    <workbookView xWindow="-120" yWindow="-120" windowWidth="20730" windowHeight="11160" xr2:uid="{F9AC85B4-4295-4675-8D5B-618F5EEE6B49}"/>
  </bookViews>
  <sheets>
    <sheet name="TAB 3%" sheetId="1" r:id="rId1"/>
    <sheet name="TAB 4%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7" i="1" l="1"/>
  <c r="I64" i="1"/>
  <c r="I58" i="1"/>
  <c r="I57" i="1"/>
  <c r="I56" i="1"/>
  <c r="I53" i="1"/>
  <c r="I52" i="1"/>
  <c r="I51" i="1"/>
  <c r="I49" i="1"/>
  <c r="I48" i="1"/>
  <c r="I44" i="1"/>
  <c r="I40" i="1"/>
  <c r="I37" i="1"/>
  <c r="I36" i="1"/>
  <c r="I35" i="1"/>
  <c r="I34" i="1"/>
  <c r="I33" i="1"/>
  <c r="I32" i="1"/>
  <c r="I26" i="1"/>
  <c r="I25" i="1"/>
  <c r="I24" i="1"/>
  <c r="I21" i="1"/>
  <c r="I10" i="1"/>
  <c r="I9" i="1"/>
  <c r="I8" i="1"/>
  <c r="I5" i="1"/>
  <c r="I4" i="1"/>
  <c r="I3" i="1"/>
  <c r="I2" i="1"/>
  <c r="I59" i="1"/>
  <c r="I43" i="1"/>
  <c r="I42" i="1"/>
  <c r="I41" i="1"/>
  <c r="I19" i="1"/>
  <c r="I18" i="1"/>
  <c r="I17" i="1"/>
  <c r="I16" i="1"/>
  <c r="I68" i="1"/>
  <c r="I65" i="1"/>
  <c r="I60" i="1"/>
  <c r="I28" i="1"/>
  <c r="I20" i="1"/>
  <c r="I12" i="1"/>
  <c r="I6" i="1"/>
  <c r="I7" i="1"/>
  <c r="I11" i="1"/>
  <c r="I13" i="1"/>
  <c r="I14" i="1"/>
  <c r="I15" i="1"/>
  <c r="I22" i="1"/>
  <c r="I23" i="1"/>
  <c r="I27" i="1"/>
  <c r="I29" i="1"/>
  <c r="I30" i="1"/>
  <c r="I31" i="1"/>
  <c r="I38" i="1"/>
  <c r="I39" i="1"/>
  <c r="I45" i="1"/>
  <c r="I46" i="1"/>
  <c r="I47" i="1"/>
  <c r="I50" i="1"/>
  <c r="I54" i="1"/>
  <c r="I55" i="1"/>
  <c r="I61" i="1"/>
  <c r="I62" i="1"/>
  <c r="I63" i="1"/>
  <c r="I66" i="1"/>
  <c r="I68" i="2" l="1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<sst xmlns="http://schemas.openxmlformats.org/spreadsheetml/2006/main" count="943" uniqueCount="117">
  <si>
    <t>CÓD.</t>
  </si>
  <si>
    <t>PRODUTO</t>
  </si>
  <si>
    <t>APRESENTAÇÃO</t>
  </si>
  <si>
    <t>UND CAIXA</t>
  </si>
  <si>
    <t>MARCA</t>
  </si>
  <si>
    <t>PREÇO</t>
  </si>
  <si>
    <t>COMPRESSA DE GAZE NÃO ESTERIL</t>
  </si>
  <si>
    <t>PACOTE 105gr</t>
  </si>
  <si>
    <t>9 fios</t>
  </si>
  <si>
    <t>COMBATE</t>
  </si>
  <si>
    <t>Med Mais</t>
  </si>
  <si>
    <t>105gr</t>
  </si>
  <si>
    <t>PACOTE 130gr</t>
  </si>
  <si>
    <t>11 fios</t>
  </si>
  <si>
    <t>130gr</t>
  </si>
  <si>
    <t>PACOTE 150gr</t>
  </si>
  <si>
    <t>13 fios</t>
  </si>
  <si>
    <t>150gr</t>
  </si>
  <si>
    <t>INTERMEDIARIA</t>
  </si>
  <si>
    <t>PACOTE 160gr</t>
  </si>
  <si>
    <t>160gr</t>
  </si>
  <si>
    <t>PACOTE 180gr</t>
  </si>
  <si>
    <t>180gr</t>
  </si>
  <si>
    <t>7,5 X 7,5 PCT</t>
  </si>
  <si>
    <t>EXTRA</t>
  </si>
  <si>
    <t>Ultra Têxtil</t>
  </si>
  <si>
    <t>500 und</t>
  </si>
  <si>
    <t>GAZE HIDROFILA CIRCULAR</t>
  </si>
  <si>
    <t>Tipo Queijo 91</t>
  </si>
  <si>
    <t>210gr</t>
  </si>
  <si>
    <t>250gr</t>
  </si>
  <si>
    <t>270gr</t>
  </si>
  <si>
    <t>300gr</t>
  </si>
  <si>
    <t>320gr</t>
  </si>
  <si>
    <t>340gr</t>
  </si>
  <si>
    <t>370gr</t>
  </si>
  <si>
    <t>380gr</t>
  </si>
  <si>
    <t>410gr</t>
  </si>
  <si>
    <t>COMPRESSA ESTÉRIL – 9FIOS</t>
  </si>
  <si>
    <t>PCT 10 UND</t>
  </si>
  <si>
    <t>COMPRESSA ESTÉRIL – 11FIOS</t>
  </si>
  <si>
    <t>COMPRESSA ESTÉRIL – 13FIOS</t>
  </si>
  <si>
    <t>CAMPO OPERATÓRIO - LEVE</t>
  </si>
  <si>
    <t>45X50 PCT C/50</t>
  </si>
  <si>
    <t>Com Radiopaco</t>
  </si>
  <si>
    <t>15gr</t>
  </si>
  <si>
    <t>CAMPO OPERATÓRIO – Pré encolhido</t>
  </si>
  <si>
    <t>Estéril</t>
  </si>
  <si>
    <t>ATADURA DE CREPE</t>
  </si>
  <si>
    <t>10CM x 1,20M</t>
  </si>
  <si>
    <t>13 FIOS</t>
  </si>
  <si>
    <t>12 INDIVIDUAL</t>
  </si>
  <si>
    <t>12CM x 1,20M</t>
  </si>
  <si>
    <t>15CM x 1,20M</t>
  </si>
  <si>
    <t>90 DUZIAS</t>
  </si>
  <si>
    <t>20CM x 1,20M</t>
  </si>
  <si>
    <t>80 DUZIAS</t>
  </si>
  <si>
    <t>30CM x 1,20M</t>
  </si>
  <si>
    <t>50 DUZIAS</t>
  </si>
  <si>
    <t>10CM x 1,80M</t>
  </si>
  <si>
    <t>100 DUZIAS</t>
  </si>
  <si>
    <t>12CM x 1,80M</t>
  </si>
  <si>
    <t>15CM x 1,80M</t>
  </si>
  <si>
    <t>75 DUZIAS</t>
  </si>
  <si>
    <t>20CM x 1,80M</t>
  </si>
  <si>
    <t>70 DUZIAS</t>
  </si>
  <si>
    <t>30CM x 1,80M</t>
  </si>
  <si>
    <t>40 DUZIAS</t>
  </si>
  <si>
    <t>110 DUZIAS</t>
  </si>
  <si>
    <t>85 DUZIAS</t>
  </si>
  <si>
    <t>45 DUZIAS</t>
  </si>
  <si>
    <t>60 DUZIAS</t>
  </si>
  <si>
    <t>35 DUZIAS</t>
  </si>
  <si>
    <t>12 CONJUGADA</t>
  </si>
  <si>
    <t>52 DUZIAS</t>
  </si>
  <si>
    <t>42 DUZIAS</t>
  </si>
  <si>
    <t>86 DUZIAS</t>
  </si>
  <si>
    <t>44 DUZIAS</t>
  </si>
  <si>
    <t>28 DUZIAS</t>
  </si>
  <si>
    <t>66 DUZIAS</t>
  </si>
  <si>
    <t>48 DUZIAS</t>
  </si>
  <si>
    <t xml:space="preserve"> 32 DUZIAS</t>
  </si>
  <si>
    <t>76 DUZIAS</t>
  </si>
  <si>
    <t>38 DUZIAS</t>
  </si>
  <si>
    <t>26 DUZIAS</t>
  </si>
  <si>
    <t>COMPRESSA ESTÉRIL – 9FIOS   7,50 X 7,50</t>
  </si>
  <si>
    <t>COMPRESSA ESTÉRIL – 11FIOS  7,50 X 7,50</t>
  </si>
  <si>
    <t>COMPRESSA ESTÉRIL – 13FIOS  7,50 X 7,50</t>
  </si>
  <si>
    <t>MedTextil</t>
  </si>
  <si>
    <t>LINHA</t>
  </si>
  <si>
    <t>25X28 PCT C/5 UND</t>
  </si>
  <si>
    <t>25X28 PCT C/2 UND</t>
  </si>
  <si>
    <t>104 DUZIAS</t>
  </si>
  <si>
    <t>GRAMAT</t>
  </si>
  <si>
    <t>FIOS</t>
  </si>
  <si>
    <t>CAMPO OPERATÓRIO 45X50 (Com Radiopaco)</t>
  </si>
  <si>
    <t>CAMPO OPERATÓRIO 45X50 (Sem Radiopaco)</t>
  </si>
  <si>
    <t>CAMPO OPERATÓRIO - LEVE (Com Radiopaco)</t>
  </si>
  <si>
    <t>7,5 X 7,5  - 13x24 (aberta)</t>
  </si>
  <si>
    <t>PCT C/50</t>
  </si>
  <si>
    <t>PCT C/5 UND</t>
  </si>
  <si>
    <t>PCT C/2 UND</t>
  </si>
  <si>
    <t>08CM x 1,20M</t>
  </si>
  <si>
    <t>08CM x 1,80M</t>
  </si>
  <si>
    <t>7,5 X 7,5  - 15x26 (aberta)</t>
  </si>
  <si>
    <t>7,5 X 7,5 - 15x30 (aberta)</t>
  </si>
  <si>
    <t>Tipo Queijo 91cm x 91m</t>
  </si>
  <si>
    <t>115 DUZIAS</t>
  </si>
  <si>
    <t>105 DUZIAS</t>
  </si>
  <si>
    <t>95 DUZIAS</t>
  </si>
  <si>
    <t>Medtextil</t>
  </si>
  <si>
    <t>20gr</t>
  </si>
  <si>
    <t>17gr</t>
  </si>
  <si>
    <t>1.460gr</t>
  </si>
  <si>
    <t>1.530gr</t>
  </si>
  <si>
    <t>1.650gr</t>
  </si>
  <si>
    <t>25gr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</si>
</sst>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F243E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548DD4"/>
      <name val="Calibri"/>
      <family val="2"/>
      <scheme val="minor"/>
    </font>
    <font>
      <b/>
      <sz val="9"/>
      <color rgb="FF17365D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9" tint="-0.249977111117893"/>
      <name val="Calibri"/>
      <family val="2"/>
      <scheme val="minor"/>
    </font>
    <font>
      <b/>
      <sz val="9"/>
      <color theme="9"/>
      <name val="Calibri"/>
      <family val="2"/>
      <scheme val="minor"/>
    </font>
    <font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81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0" fillId="0" borderId="0" xfId="0" applyAlignment="1">
      <alignment horizontal="center"/>
    </xf>
    <xf numFmtId="8" fontId="3" fillId="0" borderId="3" xfId="0" applyNumberFormat="1" applyFont="1" applyBorder="1" applyAlignment="1">
      <alignment horizontal="right" vertical="center"/>
    </xf>
    <xf numFmtId="8" fontId="3" fillId="0" borderId="1" xfId="0" applyNumberFormat="1" applyFont="1" applyBorder="1" applyAlignment="1">
      <alignment horizontal="right" vertical="center"/>
    </xf>
    <xf numFmtId="8" fontId="1" fillId="0" borderId="7" xfId="0" applyNumberFormat="1" applyFont="1" applyBorder="1" applyAlignment="1">
      <alignment horizontal="right" vertical="center" wrapText="1"/>
    </xf>
    <xf numFmtId="8" fontId="1" fillId="0" borderId="9" xfId="0" applyNumberFormat="1" applyFont="1" applyBorder="1" applyAlignment="1">
      <alignment horizontal="right" vertical="center" wrapText="1"/>
    </xf>
    <xf numFmtId="8" fontId="1" fillId="0" borderId="3" xfId="0" applyNumberFormat="1" applyFont="1" applyBorder="1" applyAlignment="1">
      <alignment horizontal="right" vertical="center" wrapText="1"/>
    </xf>
    <xf numFmtId="9" fontId="0" fillId="2" borderId="0" xfId="0" applyNumberFormat="1" applyFill="1" applyAlignment="1">
      <alignment horizontal="center"/>
    </xf>
    <xf numFmtId="44" fontId="3" fillId="0" borderId="3" xfId="1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44" fontId="3" fillId="0" borderId="1" xfId="1" applyFont="1" applyBorder="1" applyAlignment="1">
      <alignment horizontal="right" vertical="center"/>
    </xf>
    <xf numFmtId="44" fontId="3" fillId="0" borderId="3" xfId="1" applyFont="1" applyBorder="1" applyAlignment="1">
      <alignment horizontal="right" vertical="center"/>
    </xf>
    <xf numFmtId="44" fontId="0" fillId="0" borderId="0" xfId="1" applyFont="1"/>
    <xf numFmtId="44" fontId="1" fillId="0" borderId="7" xfId="1" applyFont="1" applyBorder="1" applyAlignment="1">
      <alignment horizontal="center" vertical="center" wrapText="1"/>
    </xf>
    <xf numFmtId="44" fontId="1" fillId="0" borderId="9" xfId="1" applyFont="1" applyBorder="1" applyAlignment="1">
      <alignment horizontal="center" vertical="center" wrapText="1"/>
    </xf>
    <xf numFmtId="44" fontId="1" fillId="0" borderId="3" xfId="1" applyFont="1" applyBorder="1" applyAlignment="1">
      <alignment horizontal="center" vertical="center" wrapText="1"/>
    </xf>
    <xf numFmtId="44" fontId="0" fillId="0" borderId="0" xfId="1" applyFont="1" applyAlignment="1">
      <alignment horizontal="right"/>
    </xf>
    <xf numFmtId="44" fontId="1" fillId="0" borderId="7" xfId="1" applyFont="1" applyBorder="1" applyAlignment="1">
      <alignment horizontal="right" vertical="center" wrapText="1"/>
    </xf>
    <xf numFmtId="44" fontId="1" fillId="0" borderId="9" xfId="1" applyFont="1" applyBorder="1" applyAlignment="1">
      <alignment horizontal="right" vertical="center" wrapText="1"/>
    </xf>
    <xf numFmtId="44" fontId="1" fillId="0" borderId="3" xfId="1" applyFont="1" applyBorder="1" applyAlignment="1">
      <alignment horizontal="right" vertical="center" wrapText="1"/>
    </xf>
    <xf numFmtId="44" fontId="0" fillId="0" borderId="0" xfId="1" applyFont="1" applyAlignment="1">
      <alignment horizontal="center"/>
    </xf>
    <xf numFmtId="9" fontId="2" fillId="2" borderId="4" xfId="2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44" fontId="2" fillId="0" borderId="4" xfId="1" applyFont="1" applyBorder="1" applyAlignment="1">
      <alignment vertical="center"/>
    </xf>
    <xf numFmtId="0" fontId="0" fillId="0" borderId="4" xfId="0" applyBorder="1"/>
    <xf numFmtId="0" fontId="2" fillId="0" borderId="5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B7B4-2C01-4CFC-A3A7-3BF1EF6635D0}">
  <sheetPr>
    <pageSetUpPr fitToPage="1"/>
  </sheetPr>
  <dimension ref="A1:J87"/>
  <sheetViews>
    <sheetView showGridLines="0" tabSelected="1" zoomScaleNormal="100" workbookViewId="0">
      <selection activeCell="K11" sqref="K11"/>
    </sheetView>
  </sheetViews>
  <sheetFormatPr defaultColWidth="63" defaultRowHeight="15" x14ac:dyDescent="0.25"/>
  <cols>
    <col min="1" max="1" width="8.5703125" bestFit="1" customWidth="1"/>
    <col min="2" max="2" width="35.5703125" bestFit="1" customWidth="1"/>
    <col min="3" max="3" width="15.140625" bestFit="1" customWidth="1"/>
    <col min="4" max="4" width="6.5703125" bestFit="1" customWidth="1"/>
    <col min="5" max="5" width="12.28515625" bestFit="1" customWidth="1"/>
    <col min="6" max="6" width="17.7109375" style="20" bestFit="1" customWidth="1"/>
    <col min="7" max="7" width="9" bestFit="1" customWidth="1"/>
    <col min="8" max="8" width="9" style="20" bestFit="1" customWidth="1"/>
    <col min="9" max="9" width="9.7109375" style="35" customWidth="1"/>
    <col min="10" max="10" width="7.140625" hidden="1" customWidth="1"/>
  </cols>
  <sheetData>
    <row r="1" spans="1:10" s="20" customFormat="1" x14ac:dyDescent="0.25">
      <c r="A1" s="79" t="s">
        <v>0</v>
      </c>
      <c r="B1" s="79" t="s">
        <v>1</v>
      </c>
      <c r="C1" s="79" t="s">
        <v>2</v>
      </c>
      <c r="D1" s="79" t="s">
        <v>94</v>
      </c>
      <c r="E1" s="79" t="s">
        <v>3</v>
      </c>
      <c r="F1" s="79" t="s">
        <v>89</v>
      </c>
      <c r="G1" s="79" t="s">
        <v>4</v>
      </c>
      <c r="H1" s="80" t="s">
        <v>93</v>
      </c>
      <c r="I1" s="79" t="s">
        <v>5</v>
      </c>
      <c r="J1" s="26">
        <v>0</v>
      </c>
    </row>
    <row r="2" spans="1:10" ht="15.75" thickBot="1" x14ac:dyDescent="0.3">
      <c r="A2" s="46">
        <v>8</v>
      </c>
      <c r="B2" s="51" t="s">
        <v>6</v>
      </c>
      <c r="C2" s="51" t="s">
        <v>98</v>
      </c>
      <c r="D2" s="51" t="s">
        <v>8</v>
      </c>
      <c r="E2" s="51">
        <v>72</v>
      </c>
      <c r="F2" s="56" t="s">
        <v>10</v>
      </c>
      <c r="G2" s="56" t="s">
        <v>10</v>
      </c>
      <c r="H2" s="46" t="s">
        <v>11</v>
      </c>
      <c r="I2" s="30">
        <f t="shared" ref="I2:I33" si="0">(J2*$J$1)+J2</f>
        <v>6.99</v>
      </c>
      <c r="J2" s="21">
        <v>6.99</v>
      </c>
    </row>
    <row r="3" spans="1:10" ht="15.75" thickBot="1" x14ac:dyDescent="0.3">
      <c r="A3" s="46">
        <v>310</v>
      </c>
      <c r="B3" s="51" t="s">
        <v>6</v>
      </c>
      <c r="C3" s="51" t="s">
        <v>98</v>
      </c>
      <c r="D3" s="51" t="s">
        <v>13</v>
      </c>
      <c r="E3" s="51">
        <v>60</v>
      </c>
      <c r="F3" s="56" t="s">
        <v>10</v>
      </c>
      <c r="G3" s="56" t="s">
        <v>10</v>
      </c>
      <c r="H3" s="46" t="s">
        <v>14</v>
      </c>
      <c r="I3" s="30">
        <f t="shared" si="0"/>
        <v>9.74</v>
      </c>
      <c r="J3" s="21">
        <v>9.74</v>
      </c>
    </row>
    <row r="4" spans="1:10" ht="15.75" thickBot="1" x14ac:dyDescent="0.3">
      <c r="A4" s="46">
        <v>326</v>
      </c>
      <c r="B4" s="51" t="s">
        <v>6</v>
      </c>
      <c r="C4" s="51" t="s">
        <v>98</v>
      </c>
      <c r="D4" s="51" t="s">
        <v>16</v>
      </c>
      <c r="E4" s="51">
        <v>50</v>
      </c>
      <c r="F4" s="56" t="s">
        <v>10</v>
      </c>
      <c r="G4" s="56" t="s">
        <v>10</v>
      </c>
      <c r="H4" s="46" t="s">
        <v>17</v>
      </c>
      <c r="I4" s="30">
        <f t="shared" si="0"/>
        <v>11.85</v>
      </c>
      <c r="J4" s="21">
        <v>11.85</v>
      </c>
    </row>
    <row r="5" spans="1:10" ht="15.75" thickBot="1" x14ac:dyDescent="0.3">
      <c r="A5" s="46">
        <v>13</v>
      </c>
      <c r="B5" s="51" t="s">
        <v>6</v>
      </c>
      <c r="C5" s="51" t="s">
        <v>98</v>
      </c>
      <c r="D5" s="51" t="s">
        <v>8</v>
      </c>
      <c r="E5" s="51">
        <v>50</v>
      </c>
      <c r="F5" s="56" t="s">
        <v>10</v>
      </c>
      <c r="G5" s="56" t="s">
        <v>10</v>
      </c>
      <c r="H5" s="46" t="s">
        <v>17</v>
      </c>
      <c r="I5" s="30">
        <f t="shared" si="0"/>
        <v>10.88</v>
      </c>
      <c r="J5" s="21">
        <v>10.88</v>
      </c>
    </row>
    <row r="6" spans="1:10" ht="15.75" thickBot="1" x14ac:dyDescent="0.3">
      <c r="A6" s="46">
        <v>313</v>
      </c>
      <c r="B6" s="51" t="s">
        <v>6</v>
      </c>
      <c r="C6" s="51" t="s">
        <v>98</v>
      </c>
      <c r="D6" s="51" t="s">
        <v>13</v>
      </c>
      <c r="E6" s="51">
        <v>50</v>
      </c>
      <c r="F6" s="56" t="s">
        <v>10</v>
      </c>
      <c r="G6" s="56" t="s">
        <v>10</v>
      </c>
      <c r="H6" s="46" t="s">
        <v>20</v>
      </c>
      <c r="I6" s="30">
        <f t="shared" si="0"/>
        <v>11.98</v>
      </c>
      <c r="J6" s="21">
        <v>11.98</v>
      </c>
    </row>
    <row r="7" spans="1:10" ht="15.75" thickBot="1" x14ac:dyDescent="0.3">
      <c r="A7" s="46">
        <v>329</v>
      </c>
      <c r="B7" s="51" t="s">
        <v>6</v>
      </c>
      <c r="C7" s="51" t="s">
        <v>98</v>
      </c>
      <c r="D7" s="51" t="s">
        <v>16</v>
      </c>
      <c r="E7" s="51">
        <v>50</v>
      </c>
      <c r="F7" s="56" t="s">
        <v>10</v>
      </c>
      <c r="G7" s="56" t="s">
        <v>10</v>
      </c>
      <c r="H7" s="46" t="s">
        <v>22</v>
      </c>
      <c r="I7" s="30">
        <f t="shared" si="0"/>
        <v>14.22</v>
      </c>
      <c r="J7" s="21">
        <v>14.22</v>
      </c>
    </row>
    <row r="8" spans="1:10" ht="15.75" thickBot="1" x14ac:dyDescent="0.3">
      <c r="A8" s="46">
        <v>85</v>
      </c>
      <c r="B8" s="51" t="s">
        <v>27</v>
      </c>
      <c r="C8" s="51" t="s">
        <v>28</v>
      </c>
      <c r="D8" s="53" t="s">
        <v>8</v>
      </c>
      <c r="E8" s="53">
        <v>36</v>
      </c>
      <c r="F8" s="57" t="s">
        <v>10</v>
      </c>
      <c r="G8" s="57" t="s">
        <v>10</v>
      </c>
      <c r="H8" s="75" t="s">
        <v>29</v>
      </c>
      <c r="I8" s="30">
        <f t="shared" si="0"/>
        <v>15.44</v>
      </c>
      <c r="J8" s="21">
        <v>15.44</v>
      </c>
    </row>
    <row r="9" spans="1:10" ht="15.75" thickBot="1" x14ac:dyDescent="0.3">
      <c r="A9" s="46">
        <v>263</v>
      </c>
      <c r="B9" s="51" t="s">
        <v>27</v>
      </c>
      <c r="C9" s="51" t="s">
        <v>28</v>
      </c>
      <c r="D9" s="51" t="s">
        <v>13</v>
      </c>
      <c r="E9" s="51">
        <v>30</v>
      </c>
      <c r="F9" s="56" t="s">
        <v>10</v>
      </c>
      <c r="G9" s="56" t="s">
        <v>10</v>
      </c>
      <c r="H9" s="46" t="s">
        <v>30</v>
      </c>
      <c r="I9" s="30">
        <f t="shared" si="0"/>
        <v>18.86</v>
      </c>
      <c r="J9" s="21">
        <v>18.86</v>
      </c>
    </row>
    <row r="10" spans="1:10" ht="15.75" thickBot="1" x14ac:dyDescent="0.3">
      <c r="A10" s="46">
        <v>279</v>
      </c>
      <c r="B10" s="51" t="s">
        <v>27</v>
      </c>
      <c r="C10" s="52" t="s">
        <v>28</v>
      </c>
      <c r="D10" s="51" t="s">
        <v>16</v>
      </c>
      <c r="E10" s="51">
        <v>30</v>
      </c>
      <c r="F10" s="56" t="s">
        <v>10</v>
      </c>
      <c r="G10" s="56" t="s">
        <v>10</v>
      </c>
      <c r="H10" s="46" t="s">
        <v>31</v>
      </c>
      <c r="I10" s="30">
        <f t="shared" si="0"/>
        <v>19.88</v>
      </c>
      <c r="J10" s="21">
        <v>19.88</v>
      </c>
    </row>
    <row r="11" spans="1:10" ht="15.75" thickBot="1" x14ac:dyDescent="0.3">
      <c r="A11" s="46">
        <v>94</v>
      </c>
      <c r="B11" s="51" t="s">
        <v>27</v>
      </c>
      <c r="C11" s="51" t="s">
        <v>28</v>
      </c>
      <c r="D11" s="51" t="s">
        <v>8</v>
      </c>
      <c r="E11" s="51">
        <v>30</v>
      </c>
      <c r="F11" s="56" t="s">
        <v>10</v>
      </c>
      <c r="G11" s="56" t="s">
        <v>10</v>
      </c>
      <c r="H11" s="46" t="s">
        <v>32</v>
      </c>
      <c r="I11" s="30">
        <f t="shared" si="0"/>
        <v>22.8</v>
      </c>
      <c r="J11" s="21">
        <v>22.8</v>
      </c>
    </row>
    <row r="12" spans="1:10" ht="15.75" thickBot="1" x14ac:dyDescent="0.3">
      <c r="A12" s="46">
        <v>271</v>
      </c>
      <c r="B12" s="51" t="s">
        <v>27</v>
      </c>
      <c r="C12" s="51" t="s">
        <v>28</v>
      </c>
      <c r="D12" s="51" t="s">
        <v>13</v>
      </c>
      <c r="E12" s="51">
        <v>25</v>
      </c>
      <c r="F12" s="56" t="s">
        <v>10</v>
      </c>
      <c r="G12" s="56" t="s">
        <v>10</v>
      </c>
      <c r="H12" s="46" t="s">
        <v>33</v>
      </c>
      <c r="I12" s="30">
        <f t="shared" si="0"/>
        <v>24.86</v>
      </c>
      <c r="J12" s="21">
        <v>24.86</v>
      </c>
    </row>
    <row r="13" spans="1:10" ht="15.75" thickBot="1" x14ac:dyDescent="0.3">
      <c r="A13" s="46">
        <v>286</v>
      </c>
      <c r="B13" s="52" t="s">
        <v>27</v>
      </c>
      <c r="C13" s="52" t="s">
        <v>28</v>
      </c>
      <c r="D13" s="52" t="s">
        <v>16</v>
      </c>
      <c r="E13" s="52">
        <v>25</v>
      </c>
      <c r="F13" s="58" t="s">
        <v>10</v>
      </c>
      <c r="G13" s="58" t="s">
        <v>10</v>
      </c>
      <c r="H13" s="47" t="s">
        <v>34</v>
      </c>
      <c r="I13" s="30">
        <f t="shared" si="0"/>
        <v>26.86</v>
      </c>
      <c r="J13" s="21">
        <v>26.86</v>
      </c>
    </row>
    <row r="14" spans="1:10" ht="15.75" thickBot="1" x14ac:dyDescent="0.3">
      <c r="A14" s="46">
        <v>1</v>
      </c>
      <c r="B14" s="51" t="s">
        <v>38</v>
      </c>
      <c r="C14" s="51" t="s">
        <v>98</v>
      </c>
      <c r="D14" s="53" t="s">
        <v>8</v>
      </c>
      <c r="E14" s="53">
        <v>1000</v>
      </c>
      <c r="F14" s="57" t="s">
        <v>10</v>
      </c>
      <c r="G14" s="57" t="s">
        <v>10</v>
      </c>
      <c r="H14" s="75"/>
      <c r="I14" s="30">
        <f t="shared" si="0"/>
        <v>0.38</v>
      </c>
      <c r="J14" s="21">
        <v>0.38</v>
      </c>
    </row>
    <row r="15" spans="1:10" ht="15.75" thickBot="1" x14ac:dyDescent="0.3">
      <c r="A15" s="46">
        <v>2</v>
      </c>
      <c r="B15" s="51" t="s">
        <v>40</v>
      </c>
      <c r="C15" s="51" t="s">
        <v>98</v>
      </c>
      <c r="D15" s="51" t="s">
        <v>13</v>
      </c>
      <c r="E15" s="51">
        <v>1000</v>
      </c>
      <c r="F15" s="56" t="s">
        <v>10</v>
      </c>
      <c r="G15" s="56" t="s">
        <v>10</v>
      </c>
      <c r="H15" s="46"/>
      <c r="I15" s="30">
        <f t="shared" si="0"/>
        <v>0.4</v>
      </c>
      <c r="J15" s="21">
        <v>0.4</v>
      </c>
    </row>
    <row r="16" spans="1:10" ht="15.75" thickBot="1" x14ac:dyDescent="0.3">
      <c r="A16" s="47">
        <v>3</v>
      </c>
      <c r="B16" s="52" t="s">
        <v>41</v>
      </c>
      <c r="C16" s="51" t="s">
        <v>98</v>
      </c>
      <c r="D16" s="52" t="s">
        <v>16</v>
      </c>
      <c r="E16" s="52">
        <v>1000</v>
      </c>
      <c r="F16" s="58" t="s">
        <v>10</v>
      </c>
      <c r="G16" s="58" t="s">
        <v>10</v>
      </c>
      <c r="H16" s="47"/>
      <c r="I16" s="30">
        <f t="shared" si="0"/>
        <v>0.42</v>
      </c>
      <c r="J16" s="21">
        <v>0.42</v>
      </c>
    </row>
    <row r="17" spans="1:10" ht="15.75" thickBot="1" x14ac:dyDescent="0.3">
      <c r="A17" s="46">
        <v>1586</v>
      </c>
      <c r="B17" s="51" t="s">
        <v>95</v>
      </c>
      <c r="C17" s="53" t="s">
        <v>99</v>
      </c>
      <c r="D17" s="53"/>
      <c r="E17" s="53">
        <v>12</v>
      </c>
      <c r="F17" s="57" t="s">
        <v>10</v>
      </c>
      <c r="G17" s="57" t="s">
        <v>10</v>
      </c>
      <c r="H17" s="75"/>
      <c r="I17" s="30">
        <f t="shared" si="0"/>
        <v>49.5</v>
      </c>
      <c r="J17" s="21">
        <v>49.5</v>
      </c>
    </row>
    <row r="18" spans="1:10" ht="15.75" thickBot="1" x14ac:dyDescent="0.3">
      <c r="A18" s="46">
        <v>1797</v>
      </c>
      <c r="B18" s="51" t="s">
        <v>96</v>
      </c>
      <c r="C18" s="51" t="s">
        <v>99</v>
      </c>
      <c r="D18" s="51"/>
      <c r="E18" s="51">
        <v>12</v>
      </c>
      <c r="F18" s="56" t="s">
        <v>10</v>
      </c>
      <c r="G18" s="56" t="s">
        <v>10</v>
      </c>
      <c r="H18" s="46"/>
      <c r="I18" s="30">
        <f t="shared" si="0"/>
        <v>48.5</v>
      </c>
      <c r="J18" s="21">
        <v>48.5</v>
      </c>
    </row>
    <row r="19" spans="1:10" ht="15.75" thickBot="1" x14ac:dyDescent="0.3">
      <c r="A19" s="46">
        <v>1588</v>
      </c>
      <c r="B19" s="51" t="s">
        <v>46</v>
      </c>
      <c r="C19" s="53" t="s">
        <v>100</v>
      </c>
      <c r="D19" s="51"/>
      <c r="E19" s="51">
        <v>150</v>
      </c>
      <c r="F19" s="56" t="s">
        <v>10</v>
      </c>
      <c r="G19" s="56" t="s">
        <v>10</v>
      </c>
      <c r="H19" s="46"/>
      <c r="I19" s="30">
        <f t="shared" si="0"/>
        <v>5.18</v>
      </c>
      <c r="J19" s="21">
        <v>5.18</v>
      </c>
    </row>
    <row r="20" spans="1:10" ht="15.75" thickBot="1" x14ac:dyDescent="0.3">
      <c r="A20" s="47">
        <v>1587</v>
      </c>
      <c r="B20" s="52" t="s">
        <v>46</v>
      </c>
      <c r="C20" s="52" t="s">
        <v>101</v>
      </c>
      <c r="D20" s="52"/>
      <c r="E20" s="52">
        <v>300</v>
      </c>
      <c r="F20" s="58" t="s">
        <v>10</v>
      </c>
      <c r="G20" s="58" t="s">
        <v>10</v>
      </c>
      <c r="H20" s="47"/>
      <c r="I20" s="29">
        <f t="shared" si="0"/>
        <v>2.8</v>
      </c>
      <c r="J20" s="22">
        <v>2.8</v>
      </c>
    </row>
    <row r="21" spans="1:10" ht="15.75" thickBot="1" x14ac:dyDescent="0.3">
      <c r="A21" s="48">
        <v>1644</v>
      </c>
      <c r="B21" s="49" t="s">
        <v>48</v>
      </c>
      <c r="C21" s="49" t="s">
        <v>102</v>
      </c>
      <c r="D21" s="49" t="s">
        <v>50</v>
      </c>
      <c r="E21" s="54" t="s">
        <v>107</v>
      </c>
      <c r="F21" s="59" t="s">
        <v>10</v>
      </c>
      <c r="G21" s="59" t="s">
        <v>10</v>
      </c>
      <c r="H21" s="76"/>
      <c r="I21" s="30">
        <f t="shared" si="0"/>
        <v>3.66</v>
      </c>
      <c r="J21" s="21">
        <v>3.66</v>
      </c>
    </row>
    <row r="22" spans="1:10" ht="15.75" thickBot="1" x14ac:dyDescent="0.3">
      <c r="A22" s="49">
        <v>1589</v>
      </c>
      <c r="B22" s="49" t="s">
        <v>48</v>
      </c>
      <c r="C22" s="49" t="s">
        <v>49</v>
      </c>
      <c r="D22" s="49" t="s">
        <v>50</v>
      </c>
      <c r="E22" s="55" t="s">
        <v>68</v>
      </c>
      <c r="F22" s="59" t="s">
        <v>10</v>
      </c>
      <c r="G22" s="59" t="s">
        <v>10</v>
      </c>
      <c r="H22" s="59"/>
      <c r="I22" s="30">
        <f t="shared" si="0"/>
        <v>3.97</v>
      </c>
      <c r="J22" s="21">
        <v>3.97</v>
      </c>
    </row>
    <row r="23" spans="1:10" ht="15.75" thickBot="1" x14ac:dyDescent="0.3">
      <c r="A23" s="49">
        <v>1590</v>
      </c>
      <c r="B23" s="49" t="s">
        <v>48</v>
      </c>
      <c r="C23" s="49" t="s">
        <v>52</v>
      </c>
      <c r="D23" s="49" t="s">
        <v>50</v>
      </c>
      <c r="E23" s="49" t="s">
        <v>68</v>
      </c>
      <c r="F23" s="60" t="s">
        <v>10</v>
      </c>
      <c r="G23" s="60" t="s">
        <v>10</v>
      </c>
      <c r="H23" s="60"/>
      <c r="I23" s="29">
        <f t="shared" si="0"/>
        <v>4.91</v>
      </c>
      <c r="J23" s="22">
        <v>4.91</v>
      </c>
    </row>
    <row r="24" spans="1:10" ht="15.75" thickBot="1" x14ac:dyDescent="0.3">
      <c r="A24" s="49">
        <v>1592</v>
      </c>
      <c r="B24" s="49" t="s">
        <v>48</v>
      </c>
      <c r="C24" s="49" t="s">
        <v>53</v>
      </c>
      <c r="D24" s="49" t="s">
        <v>50</v>
      </c>
      <c r="E24" s="49" t="s">
        <v>54</v>
      </c>
      <c r="F24" s="60" t="s">
        <v>10</v>
      </c>
      <c r="G24" s="60" t="s">
        <v>10</v>
      </c>
      <c r="H24" s="60"/>
      <c r="I24" s="30">
        <f t="shared" si="0"/>
        <v>5.63</v>
      </c>
      <c r="J24" s="21">
        <v>5.63</v>
      </c>
    </row>
    <row r="25" spans="1:10" ht="15.75" thickBot="1" x14ac:dyDescent="0.3">
      <c r="A25" s="49">
        <v>1593</v>
      </c>
      <c r="B25" s="49" t="s">
        <v>48</v>
      </c>
      <c r="C25" s="49" t="s">
        <v>55</v>
      </c>
      <c r="D25" s="49" t="s">
        <v>50</v>
      </c>
      <c r="E25" s="49" t="s">
        <v>65</v>
      </c>
      <c r="F25" s="60" t="s">
        <v>10</v>
      </c>
      <c r="G25" s="60" t="s">
        <v>10</v>
      </c>
      <c r="H25" s="60"/>
      <c r="I25" s="30">
        <f t="shared" si="0"/>
        <v>7.25</v>
      </c>
      <c r="J25" s="21">
        <v>7.25</v>
      </c>
    </row>
    <row r="26" spans="1:10" ht="15.75" thickBot="1" x14ac:dyDescent="0.3">
      <c r="A26" s="49">
        <v>1594</v>
      </c>
      <c r="B26" s="49" t="s">
        <v>48</v>
      </c>
      <c r="C26" s="49" t="s">
        <v>57</v>
      </c>
      <c r="D26" s="49" t="s">
        <v>50</v>
      </c>
      <c r="E26" s="49" t="s">
        <v>58</v>
      </c>
      <c r="F26" s="60" t="s">
        <v>10</v>
      </c>
      <c r="G26" s="60" t="s">
        <v>10</v>
      </c>
      <c r="H26" s="60"/>
      <c r="I26" s="30">
        <f t="shared" si="0"/>
        <v>10.74</v>
      </c>
      <c r="J26" s="21">
        <v>10.74</v>
      </c>
    </row>
    <row r="27" spans="1:10" ht="15.75" thickBot="1" x14ac:dyDescent="0.3">
      <c r="A27" s="49">
        <v>1973</v>
      </c>
      <c r="B27" s="49" t="s">
        <v>48</v>
      </c>
      <c r="C27" s="49" t="s">
        <v>103</v>
      </c>
      <c r="D27" s="49" t="s">
        <v>50</v>
      </c>
      <c r="E27" s="54" t="s">
        <v>108</v>
      </c>
      <c r="F27" s="59" t="s">
        <v>10</v>
      </c>
      <c r="G27" s="59" t="s">
        <v>10</v>
      </c>
      <c r="H27" s="60"/>
      <c r="I27" s="30">
        <f t="shared" si="0"/>
        <v>4.96</v>
      </c>
      <c r="J27" s="21">
        <v>4.96</v>
      </c>
    </row>
    <row r="28" spans="1:10" ht="15.75" thickBot="1" x14ac:dyDescent="0.3">
      <c r="A28" s="49">
        <v>1595</v>
      </c>
      <c r="B28" s="49" t="s">
        <v>48</v>
      </c>
      <c r="C28" s="49" t="s">
        <v>59</v>
      </c>
      <c r="D28" s="49" t="s">
        <v>50</v>
      </c>
      <c r="E28" s="49" t="s">
        <v>60</v>
      </c>
      <c r="F28" s="60" t="s">
        <v>10</v>
      </c>
      <c r="G28" s="60" t="s">
        <v>10</v>
      </c>
      <c r="H28" s="60"/>
      <c r="I28" s="30">
        <f t="shared" si="0"/>
        <v>5.38</v>
      </c>
      <c r="J28" s="21">
        <v>5.38</v>
      </c>
    </row>
    <row r="29" spans="1:10" ht="15.75" thickBot="1" x14ac:dyDescent="0.3">
      <c r="A29" s="49">
        <v>1596</v>
      </c>
      <c r="B29" s="49" t="s">
        <v>48</v>
      </c>
      <c r="C29" s="49" t="s">
        <v>61</v>
      </c>
      <c r="D29" s="49" t="s">
        <v>50</v>
      </c>
      <c r="E29" s="49" t="s">
        <v>54</v>
      </c>
      <c r="F29" s="60" t="s">
        <v>10</v>
      </c>
      <c r="G29" s="60" t="s">
        <v>10</v>
      </c>
      <c r="H29" s="60"/>
      <c r="I29" s="36">
        <f t="shared" si="0"/>
        <v>6.78</v>
      </c>
      <c r="J29" s="23">
        <v>6.78</v>
      </c>
    </row>
    <row r="30" spans="1:10" ht="15.75" thickBot="1" x14ac:dyDescent="0.3">
      <c r="A30" s="49">
        <v>1597</v>
      </c>
      <c r="B30" s="49" t="s">
        <v>48</v>
      </c>
      <c r="C30" s="49" t="s">
        <v>62</v>
      </c>
      <c r="D30" s="49" t="s">
        <v>50</v>
      </c>
      <c r="E30" s="49" t="s">
        <v>63</v>
      </c>
      <c r="F30" s="60" t="s">
        <v>10</v>
      </c>
      <c r="G30" s="60" t="s">
        <v>10</v>
      </c>
      <c r="H30" s="60"/>
      <c r="I30" s="36">
        <f t="shared" si="0"/>
        <v>7.94</v>
      </c>
      <c r="J30" s="23">
        <v>7.94</v>
      </c>
    </row>
    <row r="31" spans="1:10" ht="15.75" thickBot="1" x14ac:dyDescent="0.3">
      <c r="A31" s="49">
        <v>1598</v>
      </c>
      <c r="B31" s="49" t="s">
        <v>48</v>
      </c>
      <c r="C31" s="49" t="s">
        <v>64</v>
      </c>
      <c r="D31" s="49" t="s">
        <v>50</v>
      </c>
      <c r="E31" s="49" t="s">
        <v>71</v>
      </c>
      <c r="F31" s="60" t="s">
        <v>10</v>
      </c>
      <c r="G31" s="60" t="s">
        <v>10</v>
      </c>
      <c r="H31" s="60"/>
      <c r="I31" s="36">
        <f t="shared" si="0"/>
        <v>10.3</v>
      </c>
      <c r="J31" s="23">
        <v>10.3</v>
      </c>
    </row>
    <row r="32" spans="1:10" ht="15.75" thickBot="1" x14ac:dyDescent="0.3">
      <c r="A32" s="50">
        <v>1599</v>
      </c>
      <c r="B32" s="50" t="s">
        <v>48</v>
      </c>
      <c r="C32" s="50" t="s">
        <v>66</v>
      </c>
      <c r="D32" s="50" t="s">
        <v>50</v>
      </c>
      <c r="E32" s="50" t="s">
        <v>67</v>
      </c>
      <c r="F32" s="61" t="s">
        <v>10</v>
      </c>
      <c r="G32" s="61" t="s">
        <v>10</v>
      </c>
      <c r="H32" s="61"/>
      <c r="I32" s="36">
        <f t="shared" si="0"/>
        <v>14.74</v>
      </c>
      <c r="J32" s="23">
        <v>14.74</v>
      </c>
    </row>
    <row r="33" spans="1:10" ht="15.75" thickBot="1" x14ac:dyDescent="0.3">
      <c r="A33" s="49">
        <v>1616</v>
      </c>
      <c r="B33" s="49" t="s">
        <v>48</v>
      </c>
      <c r="C33" s="49" t="s">
        <v>49</v>
      </c>
      <c r="D33" s="49" t="s">
        <v>50</v>
      </c>
      <c r="E33" s="55" t="s">
        <v>68</v>
      </c>
      <c r="F33" s="59" t="s">
        <v>10</v>
      </c>
      <c r="G33" s="59" t="s">
        <v>10</v>
      </c>
      <c r="H33" s="77"/>
      <c r="I33" s="36">
        <f t="shared" si="0"/>
        <v>3.85</v>
      </c>
      <c r="J33" s="23">
        <v>3.85</v>
      </c>
    </row>
    <row r="34" spans="1:10" ht="15.75" thickBot="1" x14ac:dyDescent="0.3">
      <c r="A34" s="49">
        <v>1617</v>
      </c>
      <c r="B34" s="49" t="s">
        <v>48</v>
      </c>
      <c r="C34" s="49" t="s">
        <v>52</v>
      </c>
      <c r="D34" s="49" t="s">
        <v>50</v>
      </c>
      <c r="E34" s="49" t="s">
        <v>92</v>
      </c>
      <c r="F34" s="60" t="s">
        <v>10</v>
      </c>
      <c r="G34" s="60" t="s">
        <v>10</v>
      </c>
      <c r="H34" s="78"/>
      <c r="I34" s="36">
        <f t="shared" ref="I34:I65" si="1">(J34*$J$1)+J34</f>
        <v>4.76</v>
      </c>
      <c r="J34" s="23">
        <v>4.76</v>
      </c>
    </row>
    <row r="35" spans="1:10" ht="15.75" thickBot="1" x14ac:dyDescent="0.3">
      <c r="A35" s="49">
        <v>1618</v>
      </c>
      <c r="B35" s="49" t="s">
        <v>48</v>
      </c>
      <c r="C35" s="49" t="s">
        <v>53</v>
      </c>
      <c r="D35" s="49" t="s">
        <v>50</v>
      </c>
      <c r="E35" s="49" t="s">
        <v>65</v>
      </c>
      <c r="F35" s="60" t="s">
        <v>10</v>
      </c>
      <c r="G35" s="60" t="s">
        <v>10</v>
      </c>
      <c r="H35" s="78"/>
      <c r="I35" s="36">
        <f t="shared" si="1"/>
        <v>5.47</v>
      </c>
      <c r="J35" s="23">
        <v>5.47</v>
      </c>
    </row>
    <row r="36" spans="1:10" ht="15.75" thickBot="1" x14ac:dyDescent="0.3">
      <c r="A36" s="49">
        <v>1619</v>
      </c>
      <c r="B36" s="49" t="s">
        <v>48</v>
      </c>
      <c r="C36" s="49" t="s">
        <v>55</v>
      </c>
      <c r="D36" s="49" t="s">
        <v>50</v>
      </c>
      <c r="E36" s="49" t="s">
        <v>74</v>
      </c>
      <c r="F36" s="60" t="s">
        <v>10</v>
      </c>
      <c r="G36" s="60" t="s">
        <v>10</v>
      </c>
      <c r="H36" s="78"/>
      <c r="I36" s="36">
        <f t="shared" si="1"/>
        <v>7.03</v>
      </c>
      <c r="J36" s="23">
        <v>7.03</v>
      </c>
    </row>
    <row r="37" spans="1:10" ht="15.75" thickBot="1" x14ac:dyDescent="0.3">
      <c r="A37" s="49">
        <v>1620</v>
      </c>
      <c r="B37" s="49" t="s">
        <v>48</v>
      </c>
      <c r="C37" s="49" t="s">
        <v>57</v>
      </c>
      <c r="D37" s="49" t="s">
        <v>50</v>
      </c>
      <c r="E37" s="49" t="s">
        <v>75</v>
      </c>
      <c r="F37" s="60" t="s">
        <v>10</v>
      </c>
      <c r="G37" s="60" t="s">
        <v>10</v>
      </c>
      <c r="H37" s="78"/>
      <c r="I37" s="37">
        <f t="shared" si="1"/>
        <v>10.42</v>
      </c>
      <c r="J37" s="24">
        <v>10.42</v>
      </c>
    </row>
    <row r="38" spans="1:10" ht="15.75" thickBot="1" x14ac:dyDescent="0.3">
      <c r="A38" s="49">
        <v>1611</v>
      </c>
      <c r="B38" s="49" t="s">
        <v>48</v>
      </c>
      <c r="C38" s="49" t="s">
        <v>59</v>
      </c>
      <c r="D38" s="49" t="s">
        <v>50</v>
      </c>
      <c r="E38" s="49" t="s">
        <v>76</v>
      </c>
      <c r="F38" s="60" t="s">
        <v>10</v>
      </c>
      <c r="G38" s="60" t="s">
        <v>10</v>
      </c>
      <c r="H38" s="78"/>
      <c r="I38" s="38">
        <f t="shared" si="1"/>
        <v>5.21</v>
      </c>
      <c r="J38" s="25">
        <v>5.21</v>
      </c>
    </row>
    <row r="39" spans="1:10" ht="15.75" thickBot="1" x14ac:dyDescent="0.3">
      <c r="A39" s="49">
        <v>1612</v>
      </c>
      <c r="B39" s="49" t="s">
        <v>48</v>
      </c>
      <c r="C39" s="49" t="s">
        <v>61</v>
      </c>
      <c r="D39" s="49" t="s">
        <v>50</v>
      </c>
      <c r="E39" s="49" t="s">
        <v>65</v>
      </c>
      <c r="F39" s="60" t="s">
        <v>10</v>
      </c>
      <c r="G39" s="60" t="s">
        <v>10</v>
      </c>
      <c r="H39" s="78"/>
      <c r="I39" s="36">
        <f t="shared" si="1"/>
        <v>6.58</v>
      </c>
      <c r="J39" s="23">
        <v>6.58</v>
      </c>
    </row>
    <row r="40" spans="1:10" ht="15.75" thickBot="1" x14ac:dyDescent="0.3">
      <c r="A40" s="49">
        <v>1613</v>
      </c>
      <c r="B40" s="49" t="s">
        <v>48</v>
      </c>
      <c r="C40" s="49" t="s">
        <v>62</v>
      </c>
      <c r="D40" s="49" t="s">
        <v>50</v>
      </c>
      <c r="E40" s="49" t="s">
        <v>71</v>
      </c>
      <c r="F40" s="60" t="s">
        <v>10</v>
      </c>
      <c r="G40" s="60" t="s">
        <v>10</v>
      </c>
      <c r="H40" s="78"/>
      <c r="I40" s="36">
        <f t="shared" si="1"/>
        <v>7.7</v>
      </c>
      <c r="J40" s="23">
        <v>7.7</v>
      </c>
    </row>
    <row r="41" spans="1:10" ht="15.75" thickBot="1" x14ac:dyDescent="0.3">
      <c r="A41" s="49">
        <v>1614</v>
      </c>
      <c r="B41" s="49" t="s">
        <v>48</v>
      </c>
      <c r="C41" s="49" t="s">
        <v>64</v>
      </c>
      <c r="D41" s="49" t="s">
        <v>50</v>
      </c>
      <c r="E41" s="49" t="s">
        <v>77</v>
      </c>
      <c r="F41" s="60" t="s">
        <v>10</v>
      </c>
      <c r="G41" s="60" t="s">
        <v>10</v>
      </c>
      <c r="H41" s="78"/>
      <c r="I41" s="36">
        <f t="shared" si="1"/>
        <v>9.99</v>
      </c>
      <c r="J41" s="23">
        <v>9.99</v>
      </c>
    </row>
    <row r="42" spans="1:10" ht="15.75" thickBot="1" x14ac:dyDescent="0.3">
      <c r="A42" s="49">
        <v>1615</v>
      </c>
      <c r="B42" s="49" t="s">
        <v>48</v>
      </c>
      <c r="C42" s="49" t="s">
        <v>66</v>
      </c>
      <c r="D42" s="49" t="s">
        <v>50</v>
      </c>
      <c r="E42" s="49" t="s">
        <v>78</v>
      </c>
      <c r="F42" s="60" t="s">
        <v>10</v>
      </c>
      <c r="G42" s="60" t="s">
        <v>10</v>
      </c>
      <c r="H42" s="78"/>
      <c r="I42" s="36">
        <f t="shared" si="1"/>
        <v>14.3</v>
      </c>
      <c r="J42" s="23">
        <v>14.3</v>
      </c>
    </row>
    <row r="43" spans="1:10" ht="15.75" thickBot="1" x14ac:dyDescent="0.3">
      <c r="A43" s="51">
        <v>51</v>
      </c>
      <c r="B43" s="51" t="s">
        <v>6</v>
      </c>
      <c r="C43" s="51" t="s">
        <v>104</v>
      </c>
      <c r="D43" s="51" t="s">
        <v>8</v>
      </c>
      <c r="E43" s="51">
        <v>40</v>
      </c>
      <c r="F43" s="62" t="s">
        <v>25</v>
      </c>
      <c r="G43" s="62" t="s">
        <v>25</v>
      </c>
      <c r="H43" s="51" t="s">
        <v>26</v>
      </c>
      <c r="I43" s="36">
        <f t="shared" si="1"/>
        <v>14.46</v>
      </c>
      <c r="J43" s="23">
        <v>14.46</v>
      </c>
    </row>
    <row r="44" spans="1:10" ht="15.75" thickBot="1" x14ac:dyDescent="0.3">
      <c r="A44" s="51">
        <v>339</v>
      </c>
      <c r="B44" s="51" t="s">
        <v>6</v>
      </c>
      <c r="C44" s="51" t="s">
        <v>104</v>
      </c>
      <c r="D44" s="51" t="s">
        <v>13</v>
      </c>
      <c r="E44" s="51">
        <v>32</v>
      </c>
      <c r="F44" s="62" t="s">
        <v>25</v>
      </c>
      <c r="G44" s="62" t="s">
        <v>25</v>
      </c>
      <c r="H44" s="51" t="s">
        <v>26</v>
      </c>
      <c r="I44" s="36">
        <f t="shared" si="1"/>
        <v>16.579999999999998</v>
      </c>
      <c r="J44" s="23">
        <v>16.579999999999998</v>
      </c>
    </row>
    <row r="45" spans="1:10" ht="15.75" thickBot="1" x14ac:dyDescent="0.3">
      <c r="A45" s="52">
        <v>349</v>
      </c>
      <c r="B45" s="52" t="s">
        <v>6</v>
      </c>
      <c r="C45" s="52" t="s">
        <v>104</v>
      </c>
      <c r="D45" s="52" t="s">
        <v>16</v>
      </c>
      <c r="E45" s="52">
        <v>32</v>
      </c>
      <c r="F45" s="63" t="s">
        <v>25</v>
      </c>
      <c r="G45" s="63" t="s">
        <v>25</v>
      </c>
      <c r="H45" s="52" t="s">
        <v>26</v>
      </c>
      <c r="I45" s="36">
        <f t="shared" si="1"/>
        <v>19.22</v>
      </c>
      <c r="J45" s="23">
        <v>19.22</v>
      </c>
    </row>
    <row r="46" spans="1:10" ht="15.75" thickBot="1" x14ac:dyDescent="0.3">
      <c r="A46" s="46">
        <v>132</v>
      </c>
      <c r="B46" s="51" t="s">
        <v>27</v>
      </c>
      <c r="C46" s="51" t="s">
        <v>28</v>
      </c>
      <c r="D46" s="53" t="s">
        <v>8</v>
      </c>
      <c r="E46" s="51">
        <v>20</v>
      </c>
      <c r="F46" s="64" t="s">
        <v>25</v>
      </c>
      <c r="G46" s="64" t="s">
        <v>25</v>
      </c>
      <c r="H46" s="75" t="s">
        <v>35</v>
      </c>
      <c r="I46" s="36">
        <f t="shared" si="1"/>
        <v>29.67</v>
      </c>
      <c r="J46" s="23">
        <v>29.67</v>
      </c>
    </row>
    <row r="47" spans="1:10" ht="15.75" thickBot="1" x14ac:dyDescent="0.3">
      <c r="A47" s="46">
        <v>294</v>
      </c>
      <c r="B47" s="51" t="s">
        <v>27</v>
      </c>
      <c r="C47" s="51" t="s">
        <v>28</v>
      </c>
      <c r="D47" s="51" t="s">
        <v>13</v>
      </c>
      <c r="E47" s="51">
        <v>20</v>
      </c>
      <c r="F47" s="65" t="s">
        <v>25</v>
      </c>
      <c r="G47" s="65" t="s">
        <v>25</v>
      </c>
      <c r="H47" s="46" t="s">
        <v>36</v>
      </c>
      <c r="I47" s="36">
        <f t="shared" si="1"/>
        <v>30.58</v>
      </c>
      <c r="J47" s="23">
        <v>30.58</v>
      </c>
    </row>
    <row r="48" spans="1:10" ht="15.75" thickBot="1" x14ac:dyDescent="0.3">
      <c r="A48" s="47">
        <v>300</v>
      </c>
      <c r="B48" s="52" t="s">
        <v>27</v>
      </c>
      <c r="C48" s="52" t="s">
        <v>28</v>
      </c>
      <c r="D48" s="52" t="s">
        <v>16</v>
      </c>
      <c r="E48" s="52">
        <v>20</v>
      </c>
      <c r="F48" s="66" t="s">
        <v>25</v>
      </c>
      <c r="G48" s="66" t="s">
        <v>25</v>
      </c>
      <c r="H48" s="47" t="s">
        <v>37</v>
      </c>
      <c r="I48" s="36">
        <f t="shared" si="1"/>
        <v>32.94</v>
      </c>
      <c r="J48" s="23">
        <v>32.94</v>
      </c>
    </row>
    <row r="49" spans="1:10" ht="15.75" thickBot="1" x14ac:dyDescent="0.3">
      <c r="A49" s="46">
        <v>152</v>
      </c>
      <c r="B49" s="51" t="s">
        <v>38</v>
      </c>
      <c r="C49" s="51" t="s">
        <v>104</v>
      </c>
      <c r="D49" s="53" t="s">
        <v>8</v>
      </c>
      <c r="E49" s="53">
        <v>1000</v>
      </c>
      <c r="F49" s="64" t="s">
        <v>25</v>
      </c>
      <c r="G49" s="64" t="s">
        <v>25</v>
      </c>
      <c r="H49" s="75"/>
      <c r="I49" s="36">
        <f t="shared" si="1"/>
        <v>0.44</v>
      </c>
      <c r="J49" s="23">
        <v>0.44</v>
      </c>
    </row>
    <row r="50" spans="1:10" ht="15.75" thickBot="1" x14ac:dyDescent="0.3">
      <c r="A50" s="46">
        <v>153</v>
      </c>
      <c r="B50" s="51" t="s">
        <v>40</v>
      </c>
      <c r="C50" s="51" t="s">
        <v>104</v>
      </c>
      <c r="D50" s="51" t="s">
        <v>13</v>
      </c>
      <c r="E50" s="51">
        <v>1000</v>
      </c>
      <c r="F50" s="65" t="s">
        <v>25</v>
      </c>
      <c r="G50" s="65" t="s">
        <v>25</v>
      </c>
      <c r="H50" s="46"/>
      <c r="I50" s="36">
        <f t="shared" si="1"/>
        <v>0.47</v>
      </c>
      <c r="J50" s="23">
        <v>0.47</v>
      </c>
    </row>
    <row r="51" spans="1:10" ht="15.75" thickBot="1" x14ac:dyDescent="0.3">
      <c r="A51" s="47">
        <v>154</v>
      </c>
      <c r="B51" s="52" t="s">
        <v>41</v>
      </c>
      <c r="C51" s="51" t="s">
        <v>104</v>
      </c>
      <c r="D51" s="52" t="s">
        <v>16</v>
      </c>
      <c r="E51" s="52">
        <v>1000</v>
      </c>
      <c r="F51" s="66" t="s">
        <v>25</v>
      </c>
      <c r="G51" s="66" t="s">
        <v>25</v>
      </c>
      <c r="H51" s="47"/>
      <c r="I51" s="36">
        <f t="shared" si="1"/>
        <v>0.49</v>
      </c>
      <c r="J51" s="23">
        <v>0.49</v>
      </c>
    </row>
    <row r="52" spans="1:10" ht="15.75" thickBot="1" x14ac:dyDescent="0.3">
      <c r="A52" s="46">
        <v>155</v>
      </c>
      <c r="B52" s="51" t="s">
        <v>97</v>
      </c>
      <c r="C52" s="51" t="s">
        <v>99</v>
      </c>
      <c r="D52" s="53"/>
      <c r="E52" s="53">
        <v>12</v>
      </c>
      <c r="F52" s="64" t="s">
        <v>25</v>
      </c>
      <c r="G52" s="64" t="s">
        <v>25</v>
      </c>
      <c r="H52" s="75" t="s">
        <v>111</v>
      </c>
      <c r="I52" s="36">
        <f t="shared" si="1"/>
        <v>71</v>
      </c>
      <c r="J52" s="23">
        <v>71</v>
      </c>
    </row>
    <row r="53" spans="1:10" ht="15.75" thickBot="1" x14ac:dyDescent="0.3">
      <c r="A53" s="46">
        <v>158</v>
      </c>
      <c r="B53" s="51" t="s">
        <v>46</v>
      </c>
      <c r="C53" s="51" t="s">
        <v>100</v>
      </c>
      <c r="D53" s="51"/>
      <c r="E53" s="51">
        <v>150</v>
      </c>
      <c r="F53" s="65" t="s">
        <v>25</v>
      </c>
      <c r="G53" s="65" t="s">
        <v>25</v>
      </c>
      <c r="H53" s="46" t="s">
        <v>112</v>
      </c>
      <c r="I53" s="36">
        <f t="shared" si="1"/>
        <v>6.98</v>
      </c>
      <c r="J53" s="23">
        <v>6.98</v>
      </c>
    </row>
    <row r="54" spans="1:10" ht="15.75" thickBot="1" x14ac:dyDescent="0.3">
      <c r="A54" s="51">
        <v>1957</v>
      </c>
      <c r="B54" s="51" t="s">
        <v>6</v>
      </c>
      <c r="C54" s="51" t="s">
        <v>105</v>
      </c>
      <c r="D54" s="51" t="s">
        <v>8</v>
      </c>
      <c r="E54" s="51"/>
      <c r="F54" s="67" t="s">
        <v>110</v>
      </c>
      <c r="G54" s="67" t="s">
        <v>110</v>
      </c>
      <c r="H54" s="51" t="s">
        <v>26</v>
      </c>
      <c r="I54" s="36">
        <f t="shared" si="1"/>
        <v>27.88</v>
      </c>
      <c r="J54" s="23">
        <v>27.88</v>
      </c>
    </row>
    <row r="55" spans="1:10" ht="15.75" thickBot="1" x14ac:dyDescent="0.3">
      <c r="A55" s="51">
        <v>1958</v>
      </c>
      <c r="B55" s="51" t="s">
        <v>6</v>
      </c>
      <c r="C55" s="51" t="s">
        <v>105</v>
      </c>
      <c r="D55" s="51" t="s">
        <v>13</v>
      </c>
      <c r="E55" s="51"/>
      <c r="F55" s="67" t="s">
        <v>110</v>
      </c>
      <c r="G55" s="67" t="s">
        <v>110</v>
      </c>
      <c r="H55" s="51" t="s">
        <v>26</v>
      </c>
      <c r="I55" s="36">
        <f t="shared" si="1"/>
        <v>28.67</v>
      </c>
      <c r="J55" s="23">
        <v>28.67</v>
      </c>
    </row>
    <row r="56" spans="1:10" ht="15.75" thickBot="1" x14ac:dyDescent="0.3">
      <c r="A56" s="52">
        <v>1959</v>
      </c>
      <c r="B56" s="52" t="s">
        <v>6</v>
      </c>
      <c r="C56" s="52" t="s">
        <v>105</v>
      </c>
      <c r="D56" s="52" t="s">
        <v>16</v>
      </c>
      <c r="E56" s="52"/>
      <c r="F56" s="68" t="s">
        <v>110</v>
      </c>
      <c r="G56" s="68" t="s">
        <v>110</v>
      </c>
      <c r="H56" s="52" t="s">
        <v>26</v>
      </c>
      <c r="I56" s="36">
        <f t="shared" si="1"/>
        <v>30.77</v>
      </c>
      <c r="J56" s="23">
        <v>30.77</v>
      </c>
    </row>
    <row r="57" spans="1:10" ht="15.75" thickBot="1" x14ac:dyDescent="0.3">
      <c r="A57" s="46">
        <v>1960</v>
      </c>
      <c r="B57" s="51" t="s">
        <v>27</v>
      </c>
      <c r="C57" s="51" t="s">
        <v>106</v>
      </c>
      <c r="D57" s="53" t="s">
        <v>8</v>
      </c>
      <c r="E57" s="53"/>
      <c r="F57" s="69" t="s">
        <v>110</v>
      </c>
      <c r="G57" s="69" t="s">
        <v>110</v>
      </c>
      <c r="H57" s="75" t="s">
        <v>113</v>
      </c>
      <c r="I57" s="37">
        <f t="shared" si="1"/>
        <v>94.88</v>
      </c>
      <c r="J57" s="24">
        <v>94.88</v>
      </c>
    </row>
    <row r="58" spans="1:10" ht="15.75" thickBot="1" x14ac:dyDescent="0.3">
      <c r="A58" s="46">
        <v>1961</v>
      </c>
      <c r="B58" s="51" t="s">
        <v>27</v>
      </c>
      <c r="C58" s="51" t="s">
        <v>106</v>
      </c>
      <c r="D58" s="51" t="s">
        <v>13</v>
      </c>
      <c r="E58" s="51"/>
      <c r="F58" s="70" t="s">
        <v>110</v>
      </c>
      <c r="G58" s="70" t="s">
        <v>110</v>
      </c>
      <c r="H58" s="46" t="s">
        <v>114</v>
      </c>
      <c r="I58" s="38">
        <f t="shared" si="1"/>
        <v>98.7</v>
      </c>
      <c r="J58" s="25">
        <v>98.7</v>
      </c>
    </row>
    <row r="59" spans="1:10" ht="15.75" thickBot="1" x14ac:dyDescent="0.3">
      <c r="A59" s="47">
        <v>1962</v>
      </c>
      <c r="B59" s="52" t="s">
        <v>27</v>
      </c>
      <c r="C59" s="52" t="s">
        <v>106</v>
      </c>
      <c r="D59" s="52" t="s">
        <v>16</v>
      </c>
      <c r="E59" s="52"/>
      <c r="F59" s="71" t="s">
        <v>110</v>
      </c>
      <c r="G59" s="71" t="s">
        <v>110</v>
      </c>
      <c r="H59" s="47" t="s">
        <v>115</v>
      </c>
      <c r="I59" s="36">
        <f t="shared" si="1"/>
        <v>107.44</v>
      </c>
      <c r="J59" s="23">
        <v>107.44</v>
      </c>
    </row>
    <row r="60" spans="1:10" ht="15.75" thickBot="1" x14ac:dyDescent="0.3">
      <c r="A60" s="51">
        <v>1641</v>
      </c>
      <c r="B60" s="51" t="s">
        <v>85</v>
      </c>
      <c r="C60" s="51" t="s">
        <v>105</v>
      </c>
      <c r="D60" s="53" t="s">
        <v>8</v>
      </c>
      <c r="E60" s="53"/>
      <c r="F60" s="72" t="s">
        <v>88</v>
      </c>
      <c r="G60" s="72" t="s">
        <v>88</v>
      </c>
      <c r="H60" s="53"/>
      <c r="I60" s="36">
        <f t="shared" si="1"/>
        <v>0.6</v>
      </c>
      <c r="J60" s="23">
        <v>0.6</v>
      </c>
    </row>
    <row r="61" spans="1:10" ht="15.75" thickBot="1" x14ac:dyDescent="0.3">
      <c r="A61" s="51">
        <v>1642</v>
      </c>
      <c r="B61" s="51" t="s">
        <v>86</v>
      </c>
      <c r="C61" s="51" t="s">
        <v>105</v>
      </c>
      <c r="D61" s="51" t="s">
        <v>13</v>
      </c>
      <c r="E61" s="51"/>
      <c r="F61" s="73" t="s">
        <v>88</v>
      </c>
      <c r="G61" s="73" t="s">
        <v>88</v>
      </c>
      <c r="H61" s="51"/>
      <c r="I61" s="36">
        <f t="shared" si="1"/>
        <v>0.62</v>
      </c>
      <c r="J61" s="23">
        <v>0.62</v>
      </c>
    </row>
    <row r="62" spans="1:10" ht="15.75" thickBot="1" x14ac:dyDescent="0.3">
      <c r="A62" s="52">
        <v>1643</v>
      </c>
      <c r="B62" s="52" t="s">
        <v>87</v>
      </c>
      <c r="C62" s="51" t="s">
        <v>105</v>
      </c>
      <c r="D62" s="52" t="s">
        <v>16</v>
      </c>
      <c r="E62" s="52"/>
      <c r="F62" s="74" t="s">
        <v>88</v>
      </c>
      <c r="G62" s="74" t="s">
        <v>88</v>
      </c>
      <c r="H62" s="52"/>
      <c r="I62" s="36">
        <f t="shared" si="1"/>
        <v>0.65</v>
      </c>
      <c r="J62" s="23">
        <v>0.65</v>
      </c>
    </row>
    <row r="63" spans="1:10" ht="15.75" thickBot="1" x14ac:dyDescent="0.3">
      <c r="A63" s="51">
        <v>1209</v>
      </c>
      <c r="B63" s="51" t="s">
        <v>42</v>
      </c>
      <c r="C63" s="51" t="s">
        <v>99</v>
      </c>
      <c r="D63" s="53"/>
      <c r="E63" s="53"/>
      <c r="F63" s="72" t="s">
        <v>88</v>
      </c>
      <c r="G63" s="72" t="s">
        <v>88</v>
      </c>
      <c r="H63" s="53" t="s">
        <v>116</v>
      </c>
      <c r="I63" s="36">
        <f t="shared" si="1"/>
        <v>86.5</v>
      </c>
      <c r="J63" s="23">
        <v>86.5</v>
      </c>
    </row>
    <row r="64" spans="1:10" ht="15.75" thickBot="1" x14ac:dyDescent="0.3">
      <c r="A64" s="51">
        <v>1640</v>
      </c>
      <c r="B64" s="51" t="s">
        <v>46</v>
      </c>
      <c r="C64" s="51" t="s">
        <v>100</v>
      </c>
      <c r="D64" s="51"/>
      <c r="E64" s="51"/>
      <c r="F64" s="73" t="s">
        <v>88</v>
      </c>
      <c r="G64" s="73" t="s">
        <v>88</v>
      </c>
      <c r="H64" s="51" t="s">
        <v>111</v>
      </c>
      <c r="I64" s="36">
        <f t="shared" si="1"/>
        <v>7.96</v>
      </c>
      <c r="J64" s="23">
        <v>7.96</v>
      </c>
    </row>
    <row r="65" spans="1:10" ht="15.75" thickBot="1" x14ac:dyDescent="0.3">
      <c r="A65" s="52">
        <v>1639</v>
      </c>
      <c r="B65" s="52" t="s">
        <v>46</v>
      </c>
      <c r="C65" s="52" t="s">
        <v>101</v>
      </c>
      <c r="D65" s="52"/>
      <c r="E65" s="52"/>
      <c r="F65" s="74" t="s">
        <v>88</v>
      </c>
      <c r="G65" s="74" t="s">
        <v>88</v>
      </c>
      <c r="H65" s="52" t="s">
        <v>111</v>
      </c>
      <c r="I65" s="36">
        <f t="shared" si="1"/>
        <v>4.28</v>
      </c>
      <c r="J65" s="23">
        <v>4.28</v>
      </c>
    </row>
    <row r="66" spans="1:10" ht="15.75" thickBot="1" x14ac:dyDescent="0.3">
      <c r="A66" s="49">
        <v>1787</v>
      </c>
      <c r="B66" s="49" t="s">
        <v>48</v>
      </c>
      <c r="C66" s="49" t="s">
        <v>102</v>
      </c>
      <c r="D66" s="49" t="s">
        <v>50</v>
      </c>
      <c r="E66" s="55" t="s">
        <v>107</v>
      </c>
      <c r="F66" s="72" t="s">
        <v>88</v>
      </c>
      <c r="G66" s="72" t="s">
        <v>88</v>
      </c>
      <c r="H66"/>
      <c r="I66" s="36">
        <f t="shared" ref="I66:I68" si="2">(J66*$J$1)+J66</f>
        <v>4.2699999999999996</v>
      </c>
      <c r="J66" s="23">
        <v>4.2699999999999996</v>
      </c>
    </row>
    <row r="67" spans="1:10" ht="15.75" thickBot="1" x14ac:dyDescent="0.3">
      <c r="A67" s="49">
        <v>1656</v>
      </c>
      <c r="B67" s="49" t="s">
        <v>48</v>
      </c>
      <c r="C67" s="49" t="s">
        <v>49</v>
      </c>
      <c r="D67" s="49" t="s">
        <v>50</v>
      </c>
      <c r="E67" s="55" t="s">
        <v>68</v>
      </c>
      <c r="F67" s="72" t="s">
        <v>88</v>
      </c>
      <c r="G67" s="72" t="s">
        <v>88</v>
      </c>
      <c r="H67" s="72"/>
      <c r="I67" s="36">
        <f t="shared" si="2"/>
        <v>4.6399999999999997</v>
      </c>
      <c r="J67" s="23">
        <v>4.6399999999999997</v>
      </c>
    </row>
    <row r="68" spans="1:10" ht="15.75" thickBot="1" x14ac:dyDescent="0.3">
      <c r="A68" s="49">
        <v>1657</v>
      </c>
      <c r="B68" s="49" t="s">
        <v>48</v>
      </c>
      <c r="C68" s="49" t="s">
        <v>52</v>
      </c>
      <c r="D68" s="49" t="s">
        <v>50</v>
      </c>
      <c r="E68" s="49" t="s">
        <v>69</v>
      </c>
      <c r="F68" s="73" t="s">
        <v>88</v>
      </c>
      <c r="G68" s="73" t="s">
        <v>88</v>
      </c>
      <c r="H68" s="73"/>
      <c r="I68" s="36">
        <f t="shared" si="2"/>
        <v>5.74</v>
      </c>
      <c r="J68" s="23">
        <v>5.74</v>
      </c>
    </row>
    <row r="69" spans="1:10" x14ac:dyDescent="0.25">
      <c r="A69" s="49">
        <v>1658</v>
      </c>
      <c r="B69" s="49" t="s">
        <v>48</v>
      </c>
      <c r="C69" s="49" t="s">
        <v>53</v>
      </c>
      <c r="D69" s="49" t="s">
        <v>50</v>
      </c>
      <c r="E69" s="49" t="s">
        <v>56</v>
      </c>
      <c r="F69" s="73" t="s">
        <v>88</v>
      </c>
      <c r="G69" s="73" t="s">
        <v>88</v>
      </c>
      <c r="H69" s="73"/>
      <c r="J69">
        <v>6.57</v>
      </c>
    </row>
    <row r="70" spans="1:10" x14ac:dyDescent="0.25">
      <c r="A70" s="49">
        <v>1659</v>
      </c>
      <c r="B70" s="49" t="s">
        <v>48</v>
      </c>
      <c r="C70" s="49" t="s">
        <v>55</v>
      </c>
      <c r="D70" s="49" t="s">
        <v>50</v>
      </c>
      <c r="E70" s="49" t="s">
        <v>65</v>
      </c>
      <c r="F70" s="73" t="s">
        <v>88</v>
      </c>
      <c r="G70" s="73" t="s">
        <v>88</v>
      </c>
      <c r="H70" s="73"/>
      <c r="J70">
        <v>8.4499999999999993</v>
      </c>
    </row>
    <row r="71" spans="1:10" x14ac:dyDescent="0.25">
      <c r="A71" s="49">
        <v>1660</v>
      </c>
      <c r="B71" s="49" t="s">
        <v>48</v>
      </c>
      <c r="C71" s="49" t="s">
        <v>57</v>
      </c>
      <c r="D71" s="49" t="s">
        <v>50</v>
      </c>
      <c r="E71" s="49" t="s">
        <v>70</v>
      </c>
      <c r="F71" s="73" t="s">
        <v>88</v>
      </c>
      <c r="G71" s="73" t="s">
        <v>88</v>
      </c>
      <c r="H71" s="73"/>
      <c r="J71">
        <v>12.58</v>
      </c>
    </row>
    <row r="72" spans="1:10" x14ac:dyDescent="0.25">
      <c r="A72" s="49">
        <v>1974</v>
      </c>
      <c r="B72" s="49" t="s">
        <v>48</v>
      </c>
      <c r="C72" s="49" t="s">
        <v>103</v>
      </c>
      <c r="D72" s="49" t="s">
        <v>50</v>
      </c>
      <c r="E72" s="49" t="s">
        <v>109</v>
      </c>
      <c r="F72" s="73" t="s">
        <v>88</v>
      </c>
      <c r="G72" s="73" t="s">
        <v>88</v>
      </c>
      <c r="H72" s="73"/>
      <c r="J72">
        <v>5.9</v>
      </c>
    </row>
    <row r="73" spans="1:10" x14ac:dyDescent="0.25">
      <c r="A73" s="49">
        <v>1661</v>
      </c>
      <c r="B73" s="49" t="s">
        <v>48</v>
      </c>
      <c r="C73" s="49" t="s">
        <v>59</v>
      </c>
      <c r="D73" s="49" t="s">
        <v>50</v>
      </c>
      <c r="E73" s="49" t="s">
        <v>54</v>
      </c>
      <c r="F73" s="73" t="s">
        <v>88</v>
      </c>
      <c r="G73" s="73" t="s">
        <v>88</v>
      </c>
      <c r="H73" s="73"/>
      <c r="J73">
        <v>6.41</v>
      </c>
    </row>
    <row r="74" spans="1:10" x14ac:dyDescent="0.25">
      <c r="A74" s="49">
        <v>1662</v>
      </c>
      <c r="B74" s="49" t="s">
        <v>48</v>
      </c>
      <c r="C74" s="49" t="s">
        <v>61</v>
      </c>
      <c r="D74" s="49" t="s">
        <v>50</v>
      </c>
      <c r="E74" s="49" t="s">
        <v>56</v>
      </c>
      <c r="F74" s="73" t="s">
        <v>88</v>
      </c>
      <c r="G74" s="73" t="s">
        <v>88</v>
      </c>
      <c r="H74" s="73"/>
      <c r="J74">
        <v>7.92</v>
      </c>
    </row>
    <row r="75" spans="1:10" x14ac:dyDescent="0.25">
      <c r="A75" s="49">
        <v>1663</v>
      </c>
      <c r="B75" s="49" t="s">
        <v>48</v>
      </c>
      <c r="C75" s="49" t="s">
        <v>62</v>
      </c>
      <c r="D75" s="49" t="s">
        <v>50</v>
      </c>
      <c r="E75" s="49" t="s">
        <v>65</v>
      </c>
      <c r="F75" s="73" t="s">
        <v>88</v>
      </c>
      <c r="G75" s="73" t="s">
        <v>88</v>
      </c>
      <c r="H75" s="73"/>
      <c r="J75">
        <v>9.3699999999999992</v>
      </c>
    </row>
    <row r="76" spans="1:10" x14ac:dyDescent="0.25">
      <c r="A76" s="49">
        <v>1664</v>
      </c>
      <c r="B76" s="49" t="s">
        <v>48</v>
      </c>
      <c r="C76" s="49" t="s">
        <v>64</v>
      </c>
      <c r="D76" s="49" t="s">
        <v>50</v>
      </c>
      <c r="E76" s="49" t="s">
        <v>71</v>
      </c>
      <c r="F76" s="73" t="s">
        <v>88</v>
      </c>
      <c r="G76" s="73" t="s">
        <v>88</v>
      </c>
      <c r="H76" s="73"/>
      <c r="J76">
        <v>12.03</v>
      </c>
    </row>
    <row r="77" spans="1:10" x14ac:dyDescent="0.25">
      <c r="A77" s="50">
        <v>1665</v>
      </c>
      <c r="B77" s="50" t="s">
        <v>48</v>
      </c>
      <c r="C77" s="50" t="s">
        <v>66</v>
      </c>
      <c r="D77" s="50" t="s">
        <v>50</v>
      </c>
      <c r="E77" s="50" t="s">
        <v>72</v>
      </c>
      <c r="F77" s="74" t="s">
        <v>88</v>
      </c>
      <c r="G77" s="74" t="s">
        <v>88</v>
      </c>
      <c r="H77" s="74"/>
      <c r="J77">
        <v>17.34</v>
      </c>
    </row>
    <row r="78" spans="1:10" x14ac:dyDescent="0.25">
      <c r="A78" s="49">
        <v>1963</v>
      </c>
      <c r="B78" s="49" t="s">
        <v>48</v>
      </c>
      <c r="C78" s="49" t="s">
        <v>49</v>
      </c>
      <c r="D78" s="49" t="s">
        <v>50</v>
      </c>
      <c r="E78" s="55" t="s">
        <v>60</v>
      </c>
      <c r="F78" s="72" t="s">
        <v>88</v>
      </c>
      <c r="G78" s="72" t="s">
        <v>88</v>
      </c>
      <c r="H78" s="72"/>
      <c r="J78">
        <v>4.5</v>
      </c>
    </row>
    <row r="79" spans="1:10" x14ac:dyDescent="0.25">
      <c r="A79" s="49">
        <v>1964</v>
      </c>
      <c r="B79" s="49" t="s">
        <v>48</v>
      </c>
      <c r="C79" s="49" t="s">
        <v>52</v>
      </c>
      <c r="D79" s="49" t="s">
        <v>50</v>
      </c>
      <c r="E79" s="49" t="s">
        <v>54</v>
      </c>
      <c r="F79" s="73" t="s">
        <v>88</v>
      </c>
      <c r="G79" s="73" t="s">
        <v>88</v>
      </c>
      <c r="H79" s="73"/>
      <c r="J79">
        <v>5.57</v>
      </c>
    </row>
    <row r="80" spans="1:10" x14ac:dyDescent="0.25">
      <c r="A80" s="49">
        <v>1965</v>
      </c>
      <c r="B80" s="49" t="s">
        <v>48</v>
      </c>
      <c r="C80" s="49" t="s">
        <v>53</v>
      </c>
      <c r="D80" s="49" t="s">
        <v>50</v>
      </c>
      <c r="E80" s="49" t="s">
        <v>79</v>
      </c>
      <c r="F80" s="73" t="s">
        <v>88</v>
      </c>
      <c r="G80" s="73" t="s">
        <v>88</v>
      </c>
      <c r="H80" s="73"/>
      <c r="J80">
        <v>6.38</v>
      </c>
    </row>
    <row r="81" spans="1:10" x14ac:dyDescent="0.25">
      <c r="A81" s="49">
        <v>1966</v>
      </c>
      <c r="B81" s="49" t="s">
        <v>48</v>
      </c>
      <c r="C81" s="49" t="s">
        <v>55</v>
      </c>
      <c r="D81" s="49" t="s">
        <v>50</v>
      </c>
      <c r="E81" s="49" t="s">
        <v>80</v>
      </c>
      <c r="F81" s="73" t="s">
        <v>88</v>
      </c>
      <c r="G81" s="73" t="s">
        <v>88</v>
      </c>
      <c r="H81" s="73"/>
      <c r="J81">
        <v>8.19</v>
      </c>
    </row>
    <row r="82" spans="1:10" x14ac:dyDescent="0.25">
      <c r="A82" s="49">
        <v>1967</v>
      </c>
      <c r="B82" s="49" t="s">
        <v>48</v>
      </c>
      <c r="C82" s="49" t="s">
        <v>57</v>
      </c>
      <c r="D82" s="49" t="s">
        <v>50</v>
      </c>
      <c r="E82" s="49" t="s">
        <v>81</v>
      </c>
      <c r="F82" s="73" t="s">
        <v>88</v>
      </c>
      <c r="G82" s="73" t="s">
        <v>88</v>
      </c>
      <c r="H82" s="73"/>
      <c r="J82">
        <v>12.21</v>
      </c>
    </row>
    <row r="83" spans="1:10" x14ac:dyDescent="0.25">
      <c r="A83" s="49">
        <v>1968</v>
      </c>
      <c r="B83" s="49" t="s">
        <v>48</v>
      </c>
      <c r="C83" s="49" t="s">
        <v>59</v>
      </c>
      <c r="D83" s="49" t="s">
        <v>50</v>
      </c>
      <c r="E83" s="49" t="s">
        <v>82</v>
      </c>
      <c r="F83" s="73" t="s">
        <v>88</v>
      </c>
      <c r="G83" s="73" t="s">
        <v>88</v>
      </c>
      <c r="H83" s="73"/>
      <c r="J83">
        <v>6.23</v>
      </c>
    </row>
    <row r="84" spans="1:10" x14ac:dyDescent="0.25">
      <c r="A84" s="49">
        <v>1969</v>
      </c>
      <c r="B84" s="49" t="s">
        <v>48</v>
      </c>
      <c r="C84" s="49" t="s">
        <v>61</v>
      </c>
      <c r="D84" s="49" t="s">
        <v>50</v>
      </c>
      <c r="E84" s="49" t="s">
        <v>71</v>
      </c>
      <c r="F84" s="73" t="s">
        <v>88</v>
      </c>
      <c r="G84" s="73" t="s">
        <v>88</v>
      </c>
      <c r="H84" s="73"/>
      <c r="J84">
        <v>7.67</v>
      </c>
    </row>
    <row r="85" spans="1:10" x14ac:dyDescent="0.25">
      <c r="A85" s="49">
        <v>1970</v>
      </c>
      <c r="B85" s="49" t="s">
        <v>48</v>
      </c>
      <c r="C85" s="49" t="s">
        <v>62</v>
      </c>
      <c r="D85" s="49" t="s">
        <v>50</v>
      </c>
      <c r="E85" s="49" t="s">
        <v>80</v>
      </c>
      <c r="F85" s="73" t="s">
        <v>88</v>
      </c>
      <c r="G85" s="73" t="s">
        <v>88</v>
      </c>
      <c r="H85" s="73"/>
      <c r="J85">
        <v>9.08</v>
      </c>
    </row>
    <row r="86" spans="1:10" x14ac:dyDescent="0.25">
      <c r="A86" s="49">
        <v>1971</v>
      </c>
      <c r="B86" s="49" t="s">
        <v>48</v>
      </c>
      <c r="C86" s="49" t="s">
        <v>64</v>
      </c>
      <c r="D86" s="49" t="s">
        <v>50</v>
      </c>
      <c r="E86" s="49" t="s">
        <v>83</v>
      </c>
      <c r="F86" s="73" t="s">
        <v>88</v>
      </c>
      <c r="G86" s="73" t="s">
        <v>88</v>
      </c>
      <c r="H86" s="73"/>
      <c r="J86">
        <v>11.67</v>
      </c>
    </row>
    <row r="87" spans="1:10" x14ac:dyDescent="0.25">
      <c r="A87" s="49">
        <v>1972</v>
      </c>
      <c r="B87" s="49" t="s">
        <v>48</v>
      </c>
      <c r="C87" s="49" t="s">
        <v>66</v>
      </c>
      <c r="D87" s="49" t="s">
        <v>50</v>
      </c>
      <c r="E87" s="49" t="s">
        <v>84</v>
      </c>
      <c r="F87" s="73" t="s">
        <v>88</v>
      </c>
      <c r="G87" s="73" t="s">
        <v>88</v>
      </c>
      <c r="H87" s="73"/>
      <c r="J87">
        <v>16.829999999999998</v>
      </c>
    </row>
  </sheetData>
  <pageMargins left="0.51181102362204722" right="0.51181102362204722" top="0.78740157480314965" bottom="0.78740157480314965" header="0.31496062992125984" footer="0.31496062992125984"/>
  <pageSetup paperSize="9" scale="76" fitToHeight="0" orientation="portrait" r:id="rId1"/>
  <headerFooter>
    <oddFooter>&amp;C&amp;G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7235-D62E-4136-BC8F-3CEC9875735E}">
  <sheetPr>
    <pageSetUpPr fitToPage="1"/>
  </sheetPr>
  <dimension ref="A1:J68"/>
  <sheetViews>
    <sheetView showGridLines="0" workbookViewId="0">
      <selection activeCell="K9" sqref="K9"/>
    </sheetView>
  </sheetViews>
  <sheetFormatPr defaultColWidth="51" defaultRowHeight="15" x14ac:dyDescent="0.25"/>
  <cols>
    <col min="1" max="1" width="8.5703125" bestFit="1" customWidth="1"/>
    <col min="2" max="2" width="32.140625" bestFit="1" customWidth="1"/>
    <col min="3" max="3" width="15.140625" style="20" bestFit="1" customWidth="1"/>
    <col min="4" max="4" width="6.5703125" bestFit="1" customWidth="1"/>
    <col min="5" max="5" width="12.28515625" style="20" bestFit="1" customWidth="1"/>
    <col min="6" max="6" width="17.7109375" style="20" bestFit="1" customWidth="1"/>
    <col min="7" max="8" width="9" style="20" bestFit="1" customWidth="1"/>
    <col min="9" max="9" width="8.28515625" style="39" bestFit="1" customWidth="1"/>
    <col min="10" max="10" width="8.28515625" style="31" hidden="1" customWidth="1"/>
  </cols>
  <sheetData>
    <row r="1" spans="1:10" x14ac:dyDescent="0.25">
      <c r="A1" s="41" t="s">
        <v>0</v>
      </c>
      <c r="B1" s="42" t="s">
        <v>1</v>
      </c>
      <c r="C1" s="42" t="s">
        <v>2</v>
      </c>
      <c r="D1" s="44"/>
      <c r="E1" s="42" t="s">
        <v>3</v>
      </c>
      <c r="F1" s="42" t="s">
        <v>89</v>
      </c>
      <c r="G1" s="41" t="s">
        <v>4</v>
      </c>
      <c r="H1" s="45"/>
      <c r="I1" s="43" t="s">
        <v>5</v>
      </c>
      <c r="J1" s="40"/>
    </row>
    <row r="2" spans="1:10" ht="15.75" thickBot="1" x14ac:dyDescent="0.3">
      <c r="A2" s="1">
        <v>8</v>
      </c>
      <c r="B2" s="2" t="s">
        <v>6</v>
      </c>
      <c r="C2" s="2" t="s">
        <v>7</v>
      </c>
      <c r="D2" s="2" t="s">
        <v>8</v>
      </c>
      <c r="E2" s="2">
        <v>72</v>
      </c>
      <c r="F2" s="2" t="s">
        <v>9</v>
      </c>
      <c r="G2" s="3" t="s">
        <v>10</v>
      </c>
      <c r="H2" s="4" t="s">
        <v>11</v>
      </c>
      <c r="I2" s="27">
        <f t="shared" ref="I2:I33" si="0">(J2*$J$1)+J2</f>
        <v>7.41</v>
      </c>
      <c r="J2" s="27">
        <v>7.41</v>
      </c>
    </row>
    <row r="3" spans="1:10" ht="15.75" thickBot="1" x14ac:dyDescent="0.3">
      <c r="A3" s="1">
        <v>310</v>
      </c>
      <c r="B3" s="2" t="s">
        <v>6</v>
      </c>
      <c r="C3" s="2" t="s">
        <v>12</v>
      </c>
      <c r="D3" s="2" t="s">
        <v>13</v>
      </c>
      <c r="E3" s="2">
        <v>60</v>
      </c>
      <c r="F3" s="2" t="s">
        <v>9</v>
      </c>
      <c r="G3" s="3" t="s">
        <v>10</v>
      </c>
      <c r="H3" s="4" t="s">
        <v>14</v>
      </c>
      <c r="I3" s="27">
        <f t="shared" si="0"/>
        <v>10.88</v>
      </c>
      <c r="J3" s="27">
        <v>10.88</v>
      </c>
    </row>
    <row r="4" spans="1:10" ht="15.75" thickBot="1" x14ac:dyDescent="0.3">
      <c r="A4" s="1">
        <v>326</v>
      </c>
      <c r="B4" s="2" t="s">
        <v>6</v>
      </c>
      <c r="C4" s="2" t="s">
        <v>15</v>
      </c>
      <c r="D4" s="2" t="s">
        <v>16</v>
      </c>
      <c r="E4" s="2">
        <v>50</v>
      </c>
      <c r="F4" s="2" t="s">
        <v>9</v>
      </c>
      <c r="G4" s="3" t="s">
        <v>10</v>
      </c>
      <c r="H4" s="4" t="s">
        <v>17</v>
      </c>
      <c r="I4" s="27">
        <f t="shared" si="0"/>
        <v>12.56</v>
      </c>
      <c r="J4" s="27">
        <v>12.56</v>
      </c>
    </row>
    <row r="5" spans="1:10" ht="15.75" thickBot="1" x14ac:dyDescent="0.3">
      <c r="A5" s="1">
        <v>13</v>
      </c>
      <c r="B5" s="2" t="s">
        <v>6</v>
      </c>
      <c r="C5" s="2" t="s">
        <v>15</v>
      </c>
      <c r="D5" s="2" t="s">
        <v>8</v>
      </c>
      <c r="E5" s="2">
        <v>50</v>
      </c>
      <c r="F5" s="2" t="s">
        <v>18</v>
      </c>
      <c r="G5" s="3" t="s">
        <v>10</v>
      </c>
      <c r="H5" s="4" t="s">
        <v>17</v>
      </c>
      <c r="I5" s="27">
        <f t="shared" si="0"/>
        <v>12.13</v>
      </c>
      <c r="J5" s="27">
        <v>12.13</v>
      </c>
    </row>
    <row r="6" spans="1:10" ht="15.75" thickBot="1" x14ac:dyDescent="0.3">
      <c r="A6" s="1">
        <v>313</v>
      </c>
      <c r="B6" s="2" t="s">
        <v>6</v>
      </c>
      <c r="C6" s="2" t="s">
        <v>19</v>
      </c>
      <c r="D6" s="2" t="s">
        <v>13</v>
      </c>
      <c r="E6" s="2">
        <v>50</v>
      </c>
      <c r="F6" s="2" t="s">
        <v>18</v>
      </c>
      <c r="G6" s="3" t="s">
        <v>10</v>
      </c>
      <c r="H6" s="4" t="s">
        <v>20</v>
      </c>
      <c r="I6" s="27">
        <f t="shared" si="0"/>
        <v>13.4</v>
      </c>
      <c r="J6" s="27">
        <v>13.4</v>
      </c>
    </row>
    <row r="7" spans="1:10" ht="15.75" thickBot="1" x14ac:dyDescent="0.3">
      <c r="A7" s="1">
        <v>329</v>
      </c>
      <c r="B7" s="2" t="s">
        <v>6</v>
      </c>
      <c r="C7" s="2" t="s">
        <v>21</v>
      </c>
      <c r="D7" s="2" t="s">
        <v>16</v>
      </c>
      <c r="E7" s="2">
        <v>50</v>
      </c>
      <c r="F7" s="2" t="s">
        <v>18</v>
      </c>
      <c r="G7" s="3" t="s">
        <v>10</v>
      </c>
      <c r="H7" s="4" t="s">
        <v>22</v>
      </c>
      <c r="I7" s="27">
        <f t="shared" si="0"/>
        <v>15.07</v>
      </c>
      <c r="J7" s="27">
        <v>15.07</v>
      </c>
    </row>
    <row r="8" spans="1:10" ht="15.75" thickBot="1" x14ac:dyDescent="0.3">
      <c r="A8" s="1">
        <v>51</v>
      </c>
      <c r="B8" s="2" t="s">
        <v>6</v>
      </c>
      <c r="C8" s="2" t="s">
        <v>23</v>
      </c>
      <c r="D8" s="2" t="s">
        <v>8</v>
      </c>
      <c r="E8" s="2">
        <v>40</v>
      </c>
      <c r="F8" s="2" t="s">
        <v>24</v>
      </c>
      <c r="G8" s="5" t="s">
        <v>25</v>
      </c>
      <c r="H8" s="4" t="s">
        <v>26</v>
      </c>
      <c r="I8" s="27">
        <f t="shared" si="0"/>
        <v>18.91</v>
      </c>
      <c r="J8" s="27">
        <v>18.91</v>
      </c>
    </row>
    <row r="9" spans="1:10" ht="15.75" thickBot="1" x14ac:dyDescent="0.3">
      <c r="A9" s="1">
        <v>339</v>
      </c>
      <c r="B9" s="2" t="s">
        <v>6</v>
      </c>
      <c r="C9" s="2" t="s">
        <v>23</v>
      </c>
      <c r="D9" s="2" t="s">
        <v>13</v>
      </c>
      <c r="E9" s="2">
        <v>32</v>
      </c>
      <c r="F9" s="2" t="s">
        <v>24</v>
      </c>
      <c r="G9" s="5" t="s">
        <v>25</v>
      </c>
      <c r="H9" s="4" t="s">
        <v>26</v>
      </c>
      <c r="I9" s="27">
        <f t="shared" si="0"/>
        <v>20.37</v>
      </c>
      <c r="J9" s="27">
        <v>20.37</v>
      </c>
    </row>
    <row r="10" spans="1:10" ht="15.75" thickBot="1" x14ac:dyDescent="0.3">
      <c r="A10" s="1">
        <v>349</v>
      </c>
      <c r="B10" s="2" t="s">
        <v>6</v>
      </c>
      <c r="C10" s="2" t="s">
        <v>23</v>
      </c>
      <c r="D10" s="2" t="s">
        <v>16</v>
      </c>
      <c r="E10" s="2">
        <v>32</v>
      </c>
      <c r="F10" s="2" t="s">
        <v>24</v>
      </c>
      <c r="G10" s="5" t="s">
        <v>25</v>
      </c>
      <c r="H10" s="4" t="s">
        <v>26</v>
      </c>
      <c r="I10" s="27">
        <f t="shared" si="0"/>
        <v>22.73</v>
      </c>
      <c r="J10" s="27">
        <v>22.73</v>
      </c>
    </row>
    <row r="11" spans="1:10" ht="15.75" thickBot="1" x14ac:dyDescent="0.3">
      <c r="A11" s="1">
        <v>85</v>
      </c>
      <c r="B11" s="2" t="s">
        <v>27</v>
      </c>
      <c r="C11" s="2" t="s">
        <v>28</v>
      </c>
      <c r="D11" s="2" t="s">
        <v>8</v>
      </c>
      <c r="E11" s="2">
        <v>36</v>
      </c>
      <c r="F11" s="2" t="s">
        <v>9</v>
      </c>
      <c r="G11" s="3" t="s">
        <v>10</v>
      </c>
      <c r="H11" s="4" t="s">
        <v>29</v>
      </c>
      <c r="I11" s="27">
        <f t="shared" si="0"/>
        <v>16.940000000000001</v>
      </c>
      <c r="J11" s="27">
        <v>16.940000000000001</v>
      </c>
    </row>
    <row r="12" spans="1:10" ht="15.75" thickBot="1" x14ac:dyDescent="0.3">
      <c r="A12" s="1">
        <v>263</v>
      </c>
      <c r="B12" s="2" t="s">
        <v>27</v>
      </c>
      <c r="C12" s="2" t="s">
        <v>28</v>
      </c>
      <c r="D12" s="2" t="s">
        <v>13</v>
      </c>
      <c r="E12" s="2">
        <v>30</v>
      </c>
      <c r="F12" s="2" t="s">
        <v>9</v>
      </c>
      <c r="G12" s="3" t="s">
        <v>10</v>
      </c>
      <c r="H12" s="4" t="s">
        <v>30</v>
      </c>
      <c r="I12" s="27">
        <f t="shared" si="0"/>
        <v>20.87</v>
      </c>
      <c r="J12" s="27">
        <v>20.87</v>
      </c>
    </row>
    <row r="13" spans="1:10" ht="15.75" thickBot="1" x14ac:dyDescent="0.3">
      <c r="A13" s="1">
        <v>279</v>
      </c>
      <c r="B13" s="2" t="s">
        <v>27</v>
      </c>
      <c r="C13" s="2" t="s">
        <v>28</v>
      </c>
      <c r="D13" s="2" t="s">
        <v>16</v>
      </c>
      <c r="E13" s="2">
        <v>30</v>
      </c>
      <c r="F13" s="2" t="s">
        <v>9</v>
      </c>
      <c r="G13" s="3" t="s">
        <v>10</v>
      </c>
      <c r="H13" s="4" t="s">
        <v>31</v>
      </c>
      <c r="I13" s="27">
        <f t="shared" si="0"/>
        <v>22.61</v>
      </c>
      <c r="J13" s="27">
        <v>22.61</v>
      </c>
    </row>
    <row r="14" spans="1:10" ht="15.75" thickBot="1" x14ac:dyDescent="0.3">
      <c r="A14" s="1">
        <v>94</v>
      </c>
      <c r="B14" s="2" t="s">
        <v>27</v>
      </c>
      <c r="C14" s="2" t="s">
        <v>28</v>
      </c>
      <c r="D14" s="2" t="s">
        <v>8</v>
      </c>
      <c r="E14" s="2">
        <v>30</v>
      </c>
      <c r="F14" s="2" t="s">
        <v>18</v>
      </c>
      <c r="G14" s="3" t="s">
        <v>10</v>
      </c>
      <c r="H14" s="4" t="s">
        <v>32</v>
      </c>
      <c r="I14" s="27">
        <f t="shared" si="0"/>
        <v>24.17</v>
      </c>
      <c r="J14" s="27">
        <v>24.17</v>
      </c>
    </row>
    <row r="15" spans="1:10" x14ac:dyDescent="0.25">
      <c r="A15" s="1">
        <v>271</v>
      </c>
      <c r="B15" s="2" t="s">
        <v>27</v>
      </c>
      <c r="C15" s="2" t="s">
        <v>28</v>
      </c>
      <c r="D15" s="2" t="s">
        <v>13</v>
      </c>
      <c r="E15" s="2">
        <v>25</v>
      </c>
      <c r="F15" s="2" t="s">
        <v>18</v>
      </c>
      <c r="G15" s="3" t="s">
        <v>10</v>
      </c>
      <c r="H15" s="4" t="s">
        <v>33</v>
      </c>
      <c r="I15" s="27">
        <f t="shared" si="0"/>
        <v>26.35</v>
      </c>
      <c r="J15" s="27">
        <v>26.35</v>
      </c>
    </row>
    <row r="16" spans="1:10" ht="15.75" thickBot="1" x14ac:dyDescent="0.3">
      <c r="A16" s="1">
        <v>286</v>
      </c>
      <c r="B16" s="2" t="s">
        <v>27</v>
      </c>
      <c r="C16" s="2" t="s">
        <v>28</v>
      </c>
      <c r="D16" s="2" t="s">
        <v>16</v>
      </c>
      <c r="E16" s="2">
        <v>25</v>
      </c>
      <c r="F16" s="2" t="s">
        <v>18</v>
      </c>
      <c r="G16" s="3" t="s">
        <v>10</v>
      </c>
      <c r="H16" s="4" t="s">
        <v>34</v>
      </c>
      <c r="I16" s="27">
        <f t="shared" si="0"/>
        <v>28.47</v>
      </c>
      <c r="J16" s="27">
        <v>28.47</v>
      </c>
    </row>
    <row r="17" spans="1:10" ht="15.75" thickBot="1" x14ac:dyDescent="0.3">
      <c r="A17" s="1">
        <v>132</v>
      </c>
      <c r="B17" s="2" t="s">
        <v>27</v>
      </c>
      <c r="C17" s="2" t="s">
        <v>28</v>
      </c>
      <c r="D17" s="2" t="s">
        <v>8</v>
      </c>
      <c r="E17" s="2">
        <v>20</v>
      </c>
      <c r="F17" s="2" t="s">
        <v>24</v>
      </c>
      <c r="G17" s="5" t="s">
        <v>25</v>
      </c>
      <c r="H17" s="4" t="s">
        <v>35</v>
      </c>
      <c r="I17" s="27">
        <f t="shared" si="0"/>
        <v>30.15</v>
      </c>
      <c r="J17" s="27">
        <v>30.15</v>
      </c>
    </row>
    <row r="18" spans="1:10" ht="15.75" thickBot="1" x14ac:dyDescent="0.3">
      <c r="A18" s="1">
        <v>294</v>
      </c>
      <c r="B18" s="2" t="s">
        <v>27</v>
      </c>
      <c r="C18" s="2" t="s">
        <v>28</v>
      </c>
      <c r="D18" s="2" t="s">
        <v>13</v>
      </c>
      <c r="E18" s="2">
        <v>20</v>
      </c>
      <c r="F18" s="2" t="s">
        <v>24</v>
      </c>
      <c r="G18" s="5" t="s">
        <v>25</v>
      </c>
      <c r="H18" s="4" t="s">
        <v>36</v>
      </c>
      <c r="I18" s="27">
        <f t="shared" si="0"/>
        <v>31.67</v>
      </c>
      <c r="J18" s="27">
        <v>31.67</v>
      </c>
    </row>
    <row r="19" spans="1:10" ht="15.75" thickBot="1" x14ac:dyDescent="0.3">
      <c r="A19" s="1">
        <v>300</v>
      </c>
      <c r="B19" s="2" t="s">
        <v>27</v>
      </c>
      <c r="C19" s="2" t="s">
        <v>28</v>
      </c>
      <c r="D19" s="2" t="s">
        <v>16</v>
      </c>
      <c r="E19" s="2">
        <v>20</v>
      </c>
      <c r="F19" s="2" t="s">
        <v>24</v>
      </c>
      <c r="G19" s="5" t="s">
        <v>25</v>
      </c>
      <c r="H19" s="4" t="s">
        <v>37</v>
      </c>
      <c r="I19" s="27">
        <f t="shared" si="0"/>
        <v>33.58</v>
      </c>
      <c r="J19" s="27">
        <v>33.58</v>
      </c>
    </row>
    <row r="20" spans="1:10" ht="15.75" thickBot="1" x14ac:dyDescent="0.3">
      <c r="A20" s="1">
        <v>1</v>
      </c>
      <c r="B20" s="2" t="s">
        <v>38</v>
      </c>
      <c r="C20" s="2" t="s">
        <v>39</v>
      </c>
      <c r="D20" s="6" t="s">
        <v>8</v>
      </c>
      <c r="E20" s="6">
        <v>1000</v>
      </c>
      <c r="F20" s="6" t="s">
        <v>9</v>
      </c>
      <c r="G20" s="7" t="s">
        <v>10</v>
      </c>
      <c r="H20" s="8"/>
      <c r="I20" s="28">
        <f t="shared" si="0"/>
        <v>0.42</v>
      </c>
      <c r="J20" s="28">
        <v>0.42</v>
      </c>
    </row>
    <row r="21" spans="1:10" ht="15.75" thickBot="1" x14ac:dyDescent="0.3">
      <c r="A21" s="1">
        <v>2</v>
      </c>
      <c r="B21" s="2" t="s">
        <v>40</v>
      </c>
      <c r="C21" s="2" t="s">
        <v>39</v>
      </c>
      <c r="D21" s="2" t="s">
        <v>13</v>
      </c>
      <c r="E21" s="2">
        <v>1000</v>
      </c>
      <c r="F21" s="2" t="s">
        <v>9</v>
      </c>
      <c r="G21" s="3" t="s">
        <v>10</v>
      </c>
      <c r="H21" s="4"/>
      <c r="I21" s="27">
        <f t="shared" si="0"/>
        <v>0.44</v>
      </c>
      <c r="J21" s="27">
        <v>0.44</v>
      </c>
    </row>
    <row r="22" spans="1:10" ht="15.75" thickBot="1" x14ac:dyDescent="0.3">
      <c r="A22" s="1">
        <v>3</v>
      </c>
      <c r="B22" s="2" t="s">
        <v>41</v>
      </c>
      <c r="C22" s="2" t="s">
        <v>39</v>
      </c>
      <c r="D22" s="2" t="s">
        <v>16</v>
      </c>
      <c r="E22" s="2">
        <v>1000</v>
      </c>
      <c r="F22" s="2" t="s">
        <v>9</v>
      </c>
      <c r="G22" s="3" t="s">
        <v>10</v>
      </c>
      <c r="H22" s="4"/>
      <c r="I22" s="27">
        <f t="shared" si="0"/>
        <v>0.46</v>
      </c>
      <c r="J22" s="27">
        <v>0.46</v>
      </c>
    </row>
    <row r="23" spans="1:10" ht="15.75" thickBot="1" x14ac:dyDescent="0.3">
      <c r="A23" s="1">
        <v>1425</v>
      </c>
      <c r="B23" s="2" t="s">
        <v>85</v>
      </c>
      <c r="C23" s="2" t="s">
        <v>39</v>
      </c>
      <c r="D23" s="6" t="s">
        <v>8</v>
      </c>
      <c r="E23" s="6">
        <v>1000</v>
      </c>
      <c r="F23" s="6" t="s">
        <v>24</v>
      </c>
      <c r="G23" s="7" t="s">
        <v>88</v>
      </c>
      <c r="H23" s="8"/>
      <c r="I23" s="28">
        <f t="shared" si="0"/>
        <v>0.61</v>
      </c>
      <c r="J23" s="29">
        <v>0.61</v>
      </c>
    </row>
    <row r="24" spans="1:10" ht="15.75" thickBot="1" x14ac:dyDescent="0.3">
      <c r="A24" s="1">
        <v>1426</v>
      </c>
      <c r="B24" s="2" t="s">
        <v>86</v>
      </c>
      <c r="C24" s="2" t="s">
        <v>39</v>
      </c>
      <c r="D24" s="2" t="s">
        <v>13</v>
      </c>
      <c r="E24" s="2">
        <v>1000</v>
      </c>
      <c r="F24" s="2" t="s">
        <v>24</v>
      </c>
      <c r="G24" s="7" t="s">
        <v>88</v>
      </c>
      <c r="H24" s="4"/>
      <c r="I24" s="27">
        <f t="shared" si="0"/>
        <v>0.64</v>
      </c>
      <c r="J24" s="30">
        <v>0.64</v>
      </c>
    </row>
    <row r="25" spans="1:10" ht="15.75" thickBot="1" x14ac:dyDescent="0.3">
      <c r="A25" s="1">
        <v>1427</v>
      </c>
      <c r="B25" s="2" t="s">
        <v>87</v>
      </c>
      <c r="C25" s="2" t="s">
        <v>39</v>
      </c>
      <c r="D25" s="2" t="s">
        <v>16</v>
      </c>
      <c r="E25" s="2">
        <v>1000</v>
      </c>
      <c r="F25" s="2" t="s">
        <v>24</v>
      </c>
      <c r="G25" s="7" t="s">
        <v>88</v>
      </c>
      <c r="H25" s="4"/>
      <c r="I25" s="27">
        <f t="shared" si="0"/>
        <v>0.67</v>
      </c>
      <c r="J25" s="30">
        <v>0.67</v>
      </c>
    </row>
    <row r="26" spans="1:10" ht="15.75" thickBot="1" x14ac:dyDescent="0.3">
      <c r="A26" s="1">
        <v>155</v>
      </c>
      <c r="B26" s="2" t="s">
        <v>42</v>
      </c>
      <c r="C26" s="2" t="s">
        <v>43</v>
      </c>
      <c r="D26" s="6"/>
      <c r="E26" s="2">
        <v>12</v>
      </c>
      <c r="F26" s="2" t="s">
        <v>44</v>
      </c>
      <c r="G26" s="5" t="s">
        <v>25</v>
      </c>
      <c r="H26" s="4" t="s">
        <v>45</v>
      </c>
      <c r="I26" s="27">
        <f t="shared" si="0"/>
        <v>52.47</v>
      </c>
      <c r="J26" s="27">
        <v>52.47</v>
      </c>
    </row>
    <row r="27" spans="1:10" ht="15.75" thickBot="1" x14ac:dyDescent="0.3">
      <c r="A27" s="1">
        <v>158</v>
      </c>
      <c r="B27" s="2" t="s">
        <v>46</v>
      </c>
      <c r="C27" s="2" t="s">
        <v>90</v>
      </c>
      <c r="D27" s="2"/>
      <c r="E27" s="2">
        <v>150</v>
      </c>
      <c r="F27" s="2" t="s">
        <v>44</v>
      </c>
      <c r="G27" s="5" t="s">
        <v>25</v>
      </c>
      <c r="H27" s="4" t="s">
        <v>47</v>
      </c>
      <c r="I27" s="27">
        <f t="shared" si="0"/>
        <v>5.9</v>
      </c>
      <c r="J27" s="27">
        <v>5.9</v>
      </c>
    </row>
    <row r="28" spans="1:10" ht="15.75" thickBot="1" x14ac:dyDescent="0.3">
      <c r="A28" s="1">
        <v>157</v>
      </c>
      <c r="B28" s="2" t="s">
        <v>46</v>
      </c>
      <c r="C28" s="2" t="s">
        <v>91</v>
      </c>
      <c r="D28" s="2"/>
      <c r="E28" s="2">
        <v>300</v>
      </c>
      <c r="F28" s="2" t="s">
        <v>44</v>
      </c>
      <c r="G28" s="5" t="s">
        <v>25</v>
      </c>
      <c r="H28" s="4" t="s">
        <v>47</v>
      </c>
      <c r="I28" s="27">
        <f t="shared" si="0"/>
        <v>2.97</v>
      </c>
      <c r="J28" s="27">
        <v>2.97</v>
      </c>
    </row>
    <row r="29" spans="1:10" ht="15.75" thickBot="1" x14ac:dyDescent="0.3">
      <c r="A29" s="9">
        <v>163</v>
      </c>
      <c r="B29" s="10" t="s">
        <v>48</v>
      </c>
      <c r="C29" s="10" t="s">
        <v>49</v>
      </c>
      <c r="D29" s="10" t="s">
        <v>50</v>
      </c>
      <c r="E29" s="10" t="s">
        <v>51</v>
      </c>
      <c r="F29" s="10" t="s">
        <v>68</v>
      </c>
      <c r="G29" s="10" t="s">
        <v>9</v>
      </c>
      <c r="H29" s="11" t="s">
        <v>25</v>
      </c>
      <c r="I29" s="32">
        <f t="shared" si="0"/>
        <v>4.21</v>
      </c>
      <c r="J29" s="32">
        <v>4.21</v>
      </c>
    </row>
    <row r="30" spans="1:10" x14ac:dyDescent="0.25">
      <c r="A30" s="9">
        <v>480</v>
      </c>
      <c r="B30" s="10" t="s">
        <v>48</v>
      </c>
      <c r="C30" s="10" t="s">
        <v>52</v>
      </c>
      <c r="D30" s="10" t="s">
        <v>50</v>
      </c>
      <c r="E30" s="12" t="s">
        <v>51</v>
      </c>
      <c r="F30" s="10" t="s">
        <v>68</v>
      </c>
      <c r="G30" s="10" t="s">
        <v>9</v>
      </c>
      <c r="H30" s="11" t="s">
        <v>25</v>
      </c>
      <c r="I30" s="32">
        <f t="shared" si="0"/>
        <v>5.2</v>
      </c>
      <c r="J30" s="32">
        <v>5.2</v>
      </c>
    </row>
    <row r="31" spans="1:10" x14ac:dyDescent="0.25">
      <c r="A31" s="9">
        <v>164</v>
      </c>
      <c r="B31" s="10" t="s">
        <v>48</v>
      </c>
      <c r="C31" s="10" t="s">
        <v>53</v>
      </c>
      <c r="D31" s="10" t="s">
        <v>50</v>
      </c>
      <c r="E31" s="12" t="s">
        <v>51</v>
      </c>
      <c r="F31" s="10" t="s">
        <v>54</v>
      </c>
      <c r="G31" s="10" t="s">
        <v>9</v>
      </c>
      <c r="H31" s="11" t="s">
        <v>25</v>
      </c>
      <c r="I31" s="32">
        <f t="shared" si="0"/>
        <v>5.96</v>
      </c>
      <c r="J31" s="32">
        <v>5.96</v>
      </c>
    </row>
    <row r="32" spans="1:10" x14ac:dyDescent="0.25">
      <c r="A32" s="9">
        <v>165</v>
      </c>
      <c r="B32" s="10" t="s">
        <v>48</v>
      </c>
      <c r="C32" s="10" t="s">
        <v>55</v>
      </c>
      <c r="D32" s="10" t="s">
        <v>50</v>
      </c>
      <c r="E32" s="12" t="s">
        <v>51</v>
      </c>
      <c r="F32" s="10" t="s">
        <v>65</v>
      </c>
      <c r="G32" s="10" t="s">
        <v>9</v>
      </c>
      <c r="H32" s="11" t="s">
        <v>25</v>
      </c>
      <c r="I32" s="32">
        <f t="shared" si="0"/>
        <v>7.68</v>
      </c>
      <c r="J32" s="32">
        <v>7.68</v>
      </c>
    </row>
    <row r="33" spans="1:10" x14ac:dyDescent="0.25">
      <c r="A33" s="9">
        <v>166</v>
      </c>
      <c r="B33" s="10" t="s">
        <v>48</v>
      </c>
      <c r="C33" s="10" t="s">
        <v>57</v>
      </c>
      <c r="D33" s="10" t="s">
        <v>50</v>
      </c>
      <c r="E33" s="12" t="s">
        <v>51</v>
      </c>
      <c r="F33" s="10" t="s">
        <v>58</v>
      </c>
      <c r="G33" s="10" t="s">
        <v>9</v>
      </c>
      <c r="H33" s="11" t="s">
        <v>25</v>
      </c>
      <c r="I33" s="32">
        <f t="shared" si="0"/>
        <v>11.38</v>
      </c>
      <c r="J33" s="32">
        <v>11.38</v>
      </c>
    </row>
    <row r="34" spans="1:10" x14ac:dyDescent="0.25">
      <c r="A34" s="9">
        <v>171</v>
      </c>
      <c r="B34" s="10" t="s">
        <v>48</v>
      </c>
      <c r="C34" s="10" t="s">
        <v>59</v>
      </c>
      <c r="D34" s="10" t="s">
        <v>50</v>
      </c>
      <c r="E34" s="12" t="s">
        <v>51</v>
      </c>
      <c r="F34" s="10" t="s">
        <v>60</v>
      </c>
      <c r="G34" s="10" t="s">
        <v>9</v>
      </c>
      <c r="H34" s="11" t="s">
        <v>25</v>
      </c>
      <c r="I34" s="32">
        <f t="shared" ref="I34:I65" si="1">(J34*$J$1)+J34</f>
        <v>5.7</v>
      </c>
      <c r="J34" s="32">
        <v>5.7</v>
      </c>
    </row>
    <row r="35" spans="1:10" x14ac:dyDescent="0.25">
      <c r="A35" s="9">
        <v>478</v>
      </c>
      <c r="B35" s="10" t="s">
        <v>48</v>
      </c>
      <c r="C35" s="10" t="s">
        <v>61</v>
      </c>
      <c r="D35" s="10" t="s">
        <v>50</v>
      </c>
      <c r="E35" s="12" t="s">
        <v>51</v>
      </c>
      <c r="F35" s="10" t="s">
        <v>54</v>
      </c>
      <c r="G35" s="10" t="s">
        <v>9</v>
      </c>
      <c r="H35" s="11" t="s">
        <v>25</v>
      </c>
      <c r="I35" s="32">
        <f t="shared" si="1"/>
        <v>7.19</v>
      </c>
      <c r="J35" s="32">
        <v>7.19</v>
      </c>
    </row>
    <row r="36" spans="1:10" x14ac:dyDescent="0.25">
      <c r="A36" s="9">
        <v>172</v>
      </c>
      <c r="B36" s="10" t="s">
        <v>48</v>
      </c>
      <c r="C36" s="10" t="s">
        <v>62</v>
      </c>
      <c r="D36" s="10" t="s">
        <v>50</v>
      </c>
      <c r="E36" s="12" t="s">
        <v>51</v>
      </c>
      <c r="F36" s="10" t="s">
        <v>63</v>
      </c>
      <c r="G36" s="10" t="s">
        <v>9</v>
      </c>
      <c r="H36" s="11" t="s">
        <v>25</v>
      </c>
      <c r="I36" s="32">
        <f t="shared" si="1"/>
        <v>8.41</v>
      </c>
      <c r="J36" s="32">
        <v>8.41</v>
      </c>
    </row>
    <row r="37" spans="1:10" x14ac:dyDescent="0.25">
      <c r="A37" s="13">
        <v>173</v>
      </c>
      <c r="B37" s="14" t="s">
        <v>48</v>
      </c>
      <c r="C37" s="14" t="s">
        <v>64</v>
      </c>
      <c r="D37" s="14" t="s">
        <v>50</v>
      </c>
      <c r="E37" s="15" t="s">
        <v>51</v>
      </c>
      <c r="F37" s="14" t="s">
        <v>71</v>
      </c>
      <c r="G37" s="14" t="s">
        <v>9</v>
      </c>
      <c r="H37" s="16" t="s">
        <v>25</v>
      </c>
      <c r="I37" s="33">
        <f t="shared" si="1"/>
        <v>10.92</v>
      </c>
      <c r="J37" s="33">
        <v>10.92</v>
      </c>
    </row>
    <row r="38" spans="1:10" x14ac:dyDescent="0.25">
      <c r="A38" s="17">
        <v>174</v>
      </c>
      <c r="B38" s="18" t="s">
        <v>48</v>
      </c>
      <c r="C38" s="18" t="s">
        <v>66</v>
      </c>
      <c r="D38" s="18" t="s">
        <v>50</v>
      </c>
      <c r="E38" s="19" t="s">
        <v>51</v>
      </c>
      <c r="F38" s="18" t="s">
        <v>67</v>
      </c>
      <c r="G38" s="18" t="s">
        <v>9</v>
      </c>
      <c r="H38" s="5" t="s">
        <v>25</v>
      </c>
      <c r="I38" s="34">
        <f t="shared" si="1"/>
        <v>15.63</v>
      </c>
      <c r="J38" s="34">
        <v>15.63</v>
      </c>
    </row>
    <row r="39" spans="1:10" x14ac:dyDescent="0.25">
      <c r="A39" s="9">
        <v>159</v>
      </c>
      <c r="B39" s="10" t="s">
        <v>48</v>
      </c>
      <c r="C39" s="10" t="s">
        <v>49</v>
      </c>
      <c r="D39" s="10" t="s">
        <v>50</v>
      </c>
      <c r="E39" s="12" t="s">
        <v>51</v>
      </c>
      <c r="F39" s="10" t="s">
        <v>68</v>
      </c>
      <c r="G39" s="10" t="s">
        <v>24</v>
      </c>
      <c r="H39" s="11" t="s">
        <v>25</v>
      </c>
      <c r="I39" s="32">
        <f t="shared" si="1"/>
        <v>4.92</v>
      </c>
      <c r="J39" s="32">
        <v>4.92</v>
      </c>
    </row>
    <row r="40" spans="1:10" x14ac:dyDescent="0.25">
      <c r="A40" s="9">
        <v>481</v>
      </c>
      <c r="B40" s="10" t="s">
        <v>48</v>
      </c>
      <c r="C40" s="10" t="s">
        <v>52</v>
      </c>
      <c r="D40" s="10" t="s">
        <v>50</v>
      </c>
      <c r="E40" s="12" t="s">
        <v>51</v>
      </c>
      <c r="F40" s="10" t="s">
        <v>69</v>
      </c>
      <c r="G40" s="10" t="s">
        <v>24</v>
      </c>
      <c r="H40" s="11" t="s">
        <v>25</v>
      </c>
      <c r="I40" s="32">
        <f t="shared" si="1"/>
        <v>6.08</v>
      </c>
      <c r="J40" s="32">
        <v>6.08</v>
      </c>
    </row>
    <row r="41" spans="1:10" x14ac:dyDescent="0.25">
      <c r="A41" s="9">
        <v>160</v>
      </c>
      <c r="B41" s="10" t="s">
        <v>48</v>
      </c>
      <c r="C41" s="10" t="s">
        <v>53</v>
      </c>
      <c r="D41" s="10" t="s">
        <v>50</v>
      </c>
      <c r="E41" s="12" t="s">
        <v>51</v>
      </c>
      <c r="F41" s="10" t="s">
        <v>56</v>
      </c>
      <c r="G41" s="10" t="s">
        <v>24</v>
      </c>
      <c r="H41" s="11" t="s">
        <v>25</v>
      </c>
      <c r="I41" s="32">
        <f t="shared" si="1"/>
        <v>6.96</v>
      </c>
      <c r="J41" s="32">
        <v>6.96</v>
      </c>
    </row>
    <row r="42" spans="1:10" x14ac:dyDescent="0.25">
      <c r="A42" s="9">
        <v>161</v>
      </c>
      <c r="B42" s="10" t="s">
        <v>48</v>
      </c>
      <c r="C42" s="10" t="s">
        <v>55</v>
      </c>
      <c r="D42" s="10" t="s">
        <v>50</v>
      </c>
      <c r="E42" s="12" t="s">
        <v>51</v>
      </c>
      <c r="F42" s="10" t="s">
        <v>65</v>
      </c>
      <c r="G42" s="10" t="s">
        <v>24</v>
      </c>
      <c r="H42" s="11" t="s">
        <v>25</v>
      </c>
      <c r="I42" s="32">
        <f t="shared" si="1"/>
        <v>8.9600000000000009</v>
      </c>
      <c r="J42" s="32">
        <v>8.9600000000000009</v>
      </c>
    </row>
    <row r="43" spans="1:10" x14ac:dyDescent="0.25">
      <c r="A43" s="9">
        <v>162</v>
      </c>
      <c r="B43" s="10" t="s">
        <v>48</v>
      </c>
      <c r="C43" s="10" t="s">
        <v>57</v>
      </c>
      <c r="D43" s="10" t="s">
        <v>50</v>
      </c>
      <c r="E43" s="12" t="s">
        <v>51</v>
      </c>
      <c r="F43" s="10" t="s">
        <v>70</v>
      </c>
      <c r="G43" s="10" t="s">
        <v>24</v>
      </c>
      <c r="H43" s="11" t="s">
        <v>25</v>
      </c>
      <c r="I43" s="32">
        <f t="shared" si="1"/>
        <v>13.33</v>
      </c>
      <c r="J43" s="32">
        <v>13.33</v>
      </c>
    </row>
    <row r="44" spans="1:10" x14ac:dyDescent="0.25">
      <c r="A44" s="9">
        <v>167</v>
      </c>
      <c r="B44" s="10" t="s">
        <v>48</v>
      </c>
      <c r="C44" s="10" t="s">
        <v>59</v>
      </c>
      <c r="D44" s="10" t="s">
        <v>50</v>
      </c>
      <c r="E44" s="12" t="s">
        <v>51</v>
      </c>
      <c r="F44" s="10" t="s">
        <v>54</v>
      </c>
      <c r="G44" s="10" t="s">
        <v>24</v>
      </c>
      <c r="H44" s="11" t="s">
        <v>25</v>
      </c>
      <c r="I44" s="32">
        <f t="shared" si="1"/>
        <v>6.79</v>
      </c>
      <c r="J44" s="32">
        <v>6.79</v>
      </c>
    </row>
    <row r="45" spans="1:10" x14ac:dyDescent="0.25">
      <c r="A45" s="9">
        <v>479</v>
      </c>
      <c r="B45" s="10" t="s">
        <v>48</v>
      </c>
      <c r="C45" s="10" t="s">
        <v>61</v>
      </c>
      <c r="D45" s="10" t="s">
        <v>50</v>
      </c>
      <c r="E45" s="12" t="s">
        <v>51</v>
      </c>
      <c r="F45" s="10" t="s">
        <v>56</v>
      </c>
      <c r="G45" s="10" t="s">
        <v>24</v>
      </c>
      <c r="H45" s="11" t="s">
        <v>25</v>
      </c>
      <c r="I45" s="32">
        <f t="shared" si="1"/>
        <v>8.39</v>
      </c>
      <c r="J45" s="32">
        <v>8.39</v>
      </c>
    </row>
    <row r="46" spans="1:10" x14ac:dyDescent="0.25">
      <c r="A46" s="9">
        <v>168</v>
      </c>
      <c r="B46" s="10" t="s">
        <v>48</v>
      </c>
      <c r="C46" s="10" t="s">
        <v>62</v>
      </c>
      <c r="D46" s="10" t="s">
        <v>50</v>
      </c>
      <c r="E46" s="12" t="s">
        <v>51</v>
      </c>
      <c r="F46" s="10" t="s">
        <v>65</v>
      </c>
      <c r="G46" s="10" t="s">
        <v>24</v>
      </c>
      <c r="H46" s="11" t="s">
        <v>25</v>
      </c>
      <c r="I46" s="32">
        <f t="shared" si="1"/>
        <v>9.93</v>
      </c>
      <c r="J46" s="32">
        <v>9.93</v>
      </c>
    </row>
    <row r="47" spans="1:10" x14ac:dyDescent="0.25">
      <c r="A47" s="9">
        <v>169</v>
      </c>
      <c r="B47" s="10" t="s">
        <v>48</v>
      </c>
      <c r="C47" s="10" t="s">
        <v>64</v>
      </c>
      <c r="D47" s="10" t="s">
        <v>50</v>
      </c>
      <c r="E47" s="12" t="s">
        <v>51</v>
      </c>
      <c r="F47" s="10" t="s">
        <v>71</v>
      </c>
      <c r="G47" s="10" t="s">
        <v>24</v>
      </c>
      <c r="H47" s="11" t="s">
        <v>25</v>
      </c>
      <c r="I47" s="32">
        <f t="shared" si="1"/>
        <v>12.75</v>
      </c>
      <c r="J47" s="32">
        <v>12.75</v>
      </c>
    </row>
    <row r="48" spans="1:10" ht="15.75" thickBot="1" x14ac:dyDescent="0.3">
      <c r="A48" s="9">
        <v>170</v>
      </c>
      <c r="B48" s="10" t="s">
        <v>48</v>
      </c>
      <c r="C48" s="10" t="s">
        <v>66</v>
      </c>
      <c r="D48" s="10" t="s">
        <v>50</v>
      </c>
      <c r="E48" s="12" t="s">
        <v>51</v>
      </c>
      <c r="F48" s="10" t="s">
        <v>72</v>
      </c>
      <c r="G48" s="10" t="s">
        <v>24</v>
      </c>
      <c r="H48" s="11" t="s">
        <v>25</v>
      </c>
      <c r="I48" s="32">
        <f t="shared" si="1"/>
        <v>18.38</v>
      </c>
      <c r="J48" s="32">
        <v>18.38</v>
      </c>
    </row>
    <row r="49" spans="1:10" ht="15.75" thickBot="1" x14ac:dyDescent="0.3">
      <c r="A49" s="9">
        <v>414</v>
      </c>
      <c r="B49" s="10" t="s">
        <v>48</v>
      </c>
      <c r="C49" s="10" t="s">
        <v>49</v>
      </c>
      <c r="D49" s="10" t="s">
        <v>50</v>
      </c>
      <c r="E49" s="10" t="s">
        <v>73</v>
      </c>
      <c r="F49" s="10" t="s">
        <v>68</v>
      </c>
      <c r="G49" s="10" t="s">
        <v>9</v>
      </c>
      <c r="H49" s="11" t="s">
        <v>25</v>
      </c>
      <c r="I49" s="32">
        <f t="shared" si="1"/>
        <v>4.08</v>
      </c>
      <c r="J49" s="32">
        <v>4.08</v>
      </c>
    </row>
    <row r="50" spans="1:10" x14ac:dyDescent="0.25">
      <c r="A50" s="9">
        <v>476</v>
      </c>
      <c r="B50" s="10" t="s">
        <v>48</v>
      </c>
      <c r="C50" s="10" t="s">
        <v>52</v>
      </c>
      <c r="D50" s="10" t="s">
        <v>50</v>
      </c>
      <c r="E50" s="12" t="s">
        <v>73</v>
      </c>
      <c r="F50" s="10" t="s">
        <v>92</v>
      </c>
      <c r="G50" s="10" t="s">
        <v>9</v>
      </c>
      <c r="H50" s="11" t="s">
        <v>25</v>
      </c>
      <c r="I50" s="32">
        <f t="shared" si="1"/>
        <v>5.04</v>
      </c>
      <c r="J50" s="32">
        <v>5.04</v>
      </c>
    </row>
    <row r="51" spans="1:10" x14ac:dyDescent="0.25">
      <c r="A51" s="9">
        <v>419</v>
      </c>
      <c r="B51" s="10" t="s">
        <v>48</v>
      </c>
      <c r="C51" s="10" t="s">
        <v>53</v>
      </c>
      <c r="D51" s="10" t="s">
        <v>50</v>
      </c>
      <c r="E51" s="12" t="s">
        <v>73</v>
      </c>
      <c r="F51" s="10" t="s">
        <v>65</v>
      </c>
      <c r="G51" s="10" t="s">
        <v>9</v>
      </c>
      <c r="H51" s="11" t="s">
        <v>25</v>
      </c>
      <c r="I51" s="32">
        <f t="shared" si="1"/>
        <v>5.8</v>
      </c>
      <c r="J51" s="32">
        <v>5.8</v>
      </c>
    </row>
    <row r="52" spans="1:10" x14ac:dyDescent="0.25">
      <c r="A52" s="9">
        <v>423</v>
      </c>
      <c r="B52" s="10" t="s">
        <v>48</v>
      </c>
      <c r="C52" s="10" t="s">
        <v>55</v>
      </c>
      <c r="D52" s="10" t="s">
        <v>50</v>
      </c>
      <c r="E52" s="12" t="s">
        <v>73</v>
      </c>
      <c r="F52" s="10" t="s">
        <v>74</v>
      </c>
      <c r="G52" s="10" t="s">
        <v>9</v>
      </c>
      <c r="H52" s="11" t="s">
        <v>25</v>
      </c>
      <c r="I52" s="32">
        <f t="shared" si="1"/>
        <v>7.45</v>
      </c>
      <c r="J52" s="32">
        <v>7.45</v>
      </c>
    </row>
    <row r="53" spans="1:10" x14ac:dyDescent="0.25">
      <c r="A53" s="9">
        <v>427</v>
      </c>
      <c r="B53" s="10" t="s">
        <v>48</v>
      </c>
      <c r="C53" s="10" t="s">
        <v>57</v>
      </c>
      <c r="D53" s="10" t="s">
        <v>50</v>
      </c>
      <c r="E53" s="12" t="s">
        <v>73</v>
      </c>
      <c r="F53" s="10" t="s">
        <v>75</v>
      </c>
      <c r="G53" s="10" t="s">
        <v>9</v>
      </c>
      <c r="H53" s="11" t="s">
        <v>25</v>
      </c>
      <c r="I53" s="32">
        <f t="shared" si="1"/>
        <v>11.04</v>
      </c>
      <c r="J53" s="32">
        <v>11.04</v>
      </c>
    </row>
    <row r="54" spans="1:10" x14ac:dyDescent="0.25">
      <c r="A54" s="9">
        <v>417</v>
      </c>
      <c r="B54" s="10" t="s">
        <v>48</v>
      </c>
      <c r="C54" s="10" t="s">
        <v>59</v>
      </c>
      <c r="D54" s="10" t="s">
        <v>50</v>
      </c>
      <c r="E54" s="12" t="s">
        <v>73</v>
      </c>
      <c r="F54" s="10" t="s">
        <v>76</v>
      </c>
      <c r="G54" s="10" t="s">
        <v>9</v>
      </c>
      <c r="H54" s="11" t="s">
        <v>25</v>
      </c>
      <c r="I54" s="32">
        <f t="shared" si="1"/>
        <v>5.52</v>
      </c>
      <c r="J54" s="32">
        <v>5.52</v>
      </c>
    </row>
    <row r="55" spans="1:10" x14ac:dyDescent="0.25">
      <c r="A55" s="9">
        <v>474</v>
      </c>
      <c r="B55" s="10" t="s">
        <v>48</v>
      </c>
      <c r="C55" s="10" t="s">
        <v>61</v>
      </c>
      <c r="D55" s="10" t="s">
        <v>50</v>
      </c>
      <c r="E55" s="12" t="s">
        <v>73</v>
      </c>
      <c r="F55" s="10" t="s">
        <v>65</v>
      </c>
      <c r="G55" s="10" t="s">
        <v>9</v>
      </c>
      <c r="H55" s="11" t="s">
        <v>25</v>
      </c>
      <c r="I55" s="32">
        <f t="shared" si="1"/>
        <v>6.97</v>
      </c>
      <c r="J55" s="32">
        <v>6.97</v>
      </c>
    </row>
    <row r="56" spans="1:10" x14ac:dyDescent="0.25">
      <c r="A56" s="9">
        <v>421</v>
      </c>
      <c r="B56" s="10" t="s">
        <v>48</v>
      </c>
      <c r="C56" s="10" t="s">
        <v>62</v>
      </c>
      <c r="D56" s="10" t="s">
        <v>50</v>
      </c>
      <c r="E56" s="12" t="s">
        <v>73</v>
      </c>
      <c r="F56" s="10" t="s">
        <v>71</v>
      </c>
      <c r="G56" s="10" t="s">
        <v>9</v>
      </c>
      <c r="H56" s="11" t="s">
        <v>25</v>
      </c>
      <c r="I56" s="32">
        <f t="shared" si="1"/>
        <v>8.16</v>
      </c>
      <c r="J56" s="32">
        <v>8.16</v>
      </c>
    </row>
    <row r="57" spans="1:10" x14ac:dyDescent="0.25">
      <c r="A57" s="13">
        <v>425</v>
      </c>
      <c r="B57" s="14" t="s">
        <v>48</v>
      </c>
      <c r="C57" s="14" t="s">
        <v>64</v>
      </c>
      <c r="D57" s="14" t="s">
        <v>50</v>
      </c>
      <c r="E57" s="15" t="s">
        <v>73</v>
      </c>
      <c r="F57" s="14" t="s">
        <v>77</v>
      </c>
      <c r="G57" s="14" t="s">
        <v>9</v>
      </c>
      <c r="H57" s="16" t="s">
        <v>25</v>
      </c>
      <c r="I57" s="33">
        <f t="shared" si="1"/>
        <v>10.59</v>
      </c>
      <c r="J57" s="33">
        <v>10.59</v>
      </c>
    </row>
    <row r="58" spans="1:10" x14ac:dyDescent="0.25">
      <c r="A58" s="17">
        <v>429</v>
      </c>
      <c r="B58" s="18" t="s">
        <v>48</v>
      </c>
      <c r="C58" s="18" t="s">
        <v>66</v>
      </c>
      <c r="D58" s="18" t="s">
        <v>50</v>
      </c>
      <c r="E58" s="19" t="s">
        <v>73</v>
      </c>
      <c r="F58" s="18" t="s">
        <v>78</v>
      </c>
      <c r="G58" s="18" t="s">
        <v>9</v>
      </c>
      <c r="H58" s="5" t="s">
        <v>25</v>
      </c>
      <c r="I58" s="34">
        <f t="shared" si="1"/>
        <v>15.16</v>
      </c>
      <c r="J58" s="34">
        <v>15.16</v>
      </c>
    </row>
    <row r="59" spans="1:10" x14ac:dyDescent="0.25">
      <c r="A59" s="9">
        <v>416</v>
      </c>
      <c r="B59" s="10" t="s">
        <v>48</v>
      </c>
      <c r="C59" s="10" t="s">
        <v>49</v>
      </c>
      <c r="D59" s="10" t="s">
        <v>50</v>
      </c>
      <c r="E59" s="12" t="s">
        <v>73</v>
      </c>
      <c r="F59" s="10" t="s">
        <v>60</v>
      </c>
      <c r="G59" s="10" t="s">
        <v>24</v>
      </c>
      <c r="H59" s="11" t="s">
        <v>25</v>
      </c>
      <c r="I59" s="32">
        <f t="shared" si="1"/>
        <v>4.7699999999999996</v>
      </c>
      <c r="J59" s="32">
        <v>4.7699999999999996</v>
      </c>
    </row>
    <row r="60" spans="1:10" x14ac:dyDescent="0.25">
      <c r="A60" s="9">
        <v>477</v>
      </c>
      <c r="B60" s="10" t="s">
        <v>48</v>
      </c>
      <c r="C60" s="10" t="s">
        <v>52</v>
      </c>
      <c r="D60" s="10" t="s">
        <v>50</v>
      </c>
      <c r="E60" s="12" t="s">
        <v>73</v>
      </c>
      <c r="F60" s="10" t="s">
        <v>54</v>
      </c>
      <c r="G60" s="10" t="s">
        <v>24</v>
      </c>
      <c r="H60" s="11" t="s">
        <v>25</v>
      </c>
      <c r="I60" s="32">
        <f t="shared" si="1"/>
        <v>5.9</v>
      </c>
      <c r="J60" s="32">
        <v>5.9</v>
      </c>
    </row>
    <row r="61" spans="1:10" x14ac:dyDescent="0.25">
      <c r="A61" s="9">
        <v>420</v>
      </c>
      <c r="B61" s="10" t="s">
        <v>48</v>
      </c>
      <c r="C61" s="10" t="s">
        <v>53</v>
      </c>
      <c r="D61" s="10" t="s">
        <v>50</v>
      </c>
      <c r="E61" s="12" t="s">
        <v>73</v>
      </c>
      <c r="F61" s="10" t="s">
        <v>79</v>
      </c>
      <c r="G61" s="10" t="s">
        <v>24</v>
      </c>
      <c r="H61" s="11" t="s">
        <v>25</v>
      </c>
      <c r="I61" s="32">
        <f t="shared" si="1"/>
        <v>6.7</v>
      </c>
      <c r="J61" s="32">
        <v>6.7</v>
      </c>
    </row>
    <row r="62" spans="1:10" x14ac:dyDescent="0.25">
      <c r="A62" s="9">
        <v>424</v>
      </c>
      <c r="B62" s="10" t="s">
        <v>48</v>
      </c>
      <c r="C62" s="10" t="s">
        <v>55</v>
      </c>
      <c r="D62" s="10" t="s">
        <v>50</v>
      </c>
      <c r="E62" s="12" t="s">
        <v>73</v>
      </c>
      <c r="F62" s="10" t="s">
        <v>80</v>
      </c>
      <c r="G62" s="10" t="s">
        <v>24</v>
      </c>
      <c r="H62" s="11" t="s">
        <v>25</v>
      </c>
      <c r="I62" s="32">
        <f t="shared" si="1"/>
        <v>8.68</v>
      </c>
      <c r="J62" s="32">
        <v>8.68</v>
      </c>
    </row>
    <row r="63" spans="1:10" x14ac:dyDescent="0.25">
      <c r="A63" s="9">
        <v>428</v>
      </c>
      <c r="B63" s="10" t="s">
        <v>48</v>
      </c>
      <c r="C63" s="10" t="s">
        <v>57</v>
      </c>
      <c r="D63" s="10" t="s">
        <v>50</v>
      </c>
      <c r="E63" s="12" t="s">
        <v>73</v>
      </c>
      <c r="F63" s="10" t="s">
        <v>81</v>
      </c>
      <c r="G63" s="10" t="s">
        <v>24</v>
      </c>
      <c r="H63" s="11" t="s">
        <v>25</v>
      </c>
      <c r="I63" s="32">
        <f t="shared" si="1"/>
        <v>12.94</v>
      </c>
      <c r="J63" s="32">
        <v>12.94</v>
      </c>
    </row>
    <row r="64" spans="1:10" x14ac:dyDescent="0.25">
      <c r="A64" s="9">
        <v>418</v>
      </c>
      <c r="B64" s="10" t="s">
        <v>48</v>
      </c>
      <c r="C64" s="10" t="s">
        <v>59</v>
      </c>
      <c r="D64" s="10" t="s">
        <v>50</v>
      </c>
      <c r="E64" s="12" t="s">
        <v>73</v>
      </c>
      <c r="F64" s="10" t="s">
        <v>82</v>
      </c>
      <c r="G64" s="10" t="s">
        <v>24</v>
      </c>
      <c r="H64" s="11" t="s">
        <v>25</v>
      </c>
      <c r="I64" s="32">
        <f t="shared" si="1"/>
        <v>6.6</v>
      </c>
      <c r="J64" s="32">
        <v>6.6</v>
      </c>
    </row>
    <row r="65" spans="1:10" x14ac:dyDescent="0.25">
      <c r="A65" s="9">
        <v>475</v>
      </c>
      <c r="B65" s="10" t="s">
        <v>48</v>
      </c>
      <c r="C65" s="10" t="s">
        <v>61</v>
      </c>
      <c r="D65" s="10" t="s">
        <v>50</v>
      </c>
      <c r="E65" s="12" t="s">
        <v>73</v>
      </c>
      <c r="F65" s="10" t="s">
        <v>71</v>
      </c>
      <c r="G65" s="10" t="s">
        <v>24</v>
      </c>
      <c r="H65" s="11" t="s">
        <v>25</v>
      </c>
      <c r="I65" s="32">
        <f t="shared" si="1"/>
        <v>8.1300000000000008</v>
      </c>
      <c r="J65" s="32">
        <v>8.1300000000000008</v>
      </c>
    </row>
    <row r="66" spans="1:10" x14ac:dyDescent="0.25">
      <c r="A66" s="9">
        <v>422</v>
      </c>
      <c r="B66" s="10" t="s">
        <v>48</v>
      </c>
      <c r="C66" s="10" t="s">
        <v>62</v>
      </c>
      <c r="D66" s="10" t="s">
        <v>50</v>
      </c>
      <c r="E66" s="12" t="s">
        <v>73</v>
      </c>
      <c r="F66" s="10" t="s">
        <v>80</v>
      </c>
      <c r="G66" s="10" t="s">
        <v>24</v>
      </c>
      <c r="H66" s="11" t="s">
        <v>25</v>
      </c>
      <c r="I66" s="32">
        <f t="shared" ref="I66:I97" si="2">(J66*$J$1)+J66</f>
        <v>9.6199999999999992</v>
      </c>
      <c r="J66" s="32">
        <v>9.6199999999999992</v>
      </c>
    </row>
    <row r="67" spans="1:10" x14ac:dyDescent="0.25">
      <c r="A67" s="9">
        <v>426</v>
      </c>
      <c r="B67" s="10" t="s">
        <v>48</v>
      </c>
      <c r="C67" s="10" t="s">
        <v>64</v>
      </c>
      <c r="D67" s="10" t="s">
        <v>50</v>
      </c>
      <c r="E67" s="12" t="s">
        <v>73</v>
      </c>
      <c r="F67" s="10" t="s">
        <v>83</v>
      </c>
      <c r="G67" s="10" t="s">
        <v>24</v>
      </c>
      <c r="H67" s="11" t="s">
        <v>25</v>
      </c>
      <c r="I67" s="32">
        <f t="shared" si="2"/>
        <v>12.37</v>
      </c>
      <c r="J67" s="32">
        <v>12.37</v>
      </c>
    </row>
    <row r="68" spans="1:10" ht="15.75" thickBot="1" x14ac:dyDescent="0.3">
      <c r="A68" s="9">
        <v>430</v>
      </c>
      <c r="B68" s="10" t="s">
        <v>48</v>
      </c>
      <c r="C68" s="10" t="s">
        <v>66</v>
      </c>
      <c r="D68" s="10" t="s">
        <v>50</v>
      </c>
      <c r="E68" s="12" t="s">
        <v>73</v>
      </c>
      <c r="F68" s="10" t="s">
        <v>84</v>
      </c>
      <c r="G68" s="10" t="s">
        <v>24</v>
      </c>
      <c r="H68" s="11" t="s">
        <v>25</v>
      </c>
      <c r="I68" s="32">
        <f t="shared" si="2"/>
        <v>17.84</v>
      </c>
      <c r="J68" s="32">
        <v>17.84</v>
      </c>
    </row>
  </sheetData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>
    <oddFooter>&amp;C&amp;G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 3%</vt:lpstr>
      <vt:lpstr>TAB 4%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fabio raimundo da silva</cp:lastModifiedBy>
  <cp:lastPrinted>2025-08-18T19:41:32Z</cp:lastPrinted>
  <dcterms:created xsi:type="dcterms:W3CDTF">2025-03-17T19:42:53Z</dcterms:created>
  <dcterms:modified xsi:type="dcterms:W3CDTF">2026-01-13T18:11:21Z</dcterms:modified>
</cp:coreProperties>
</file>